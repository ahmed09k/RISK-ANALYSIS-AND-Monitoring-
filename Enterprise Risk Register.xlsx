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Khan  Tech\Downloads\"/>
    </mc:Choice>
  </mc:AlternateContent>
  <bookViews>
    <workbookView xWindow="-110" yWindow="-110" windowWidth="19420" windowHeight="11500" firstSheet="1" activeTab="2"/>
  </bookViews>
  <sheets>
    <sheet name="Document Control" sheetId="5" r:id="rId1"/>
    <sheet name="Introductions" sheetId="4" r:id="rId2"/>
    <sheet name="Availability Risk Register" sheetId="1" r:id="rId3"/>
    <sheet name="Sheet1" sheetId="8" r:id="rId4"/>
    <sheet name="Risk Methedology Matrix" sheetId="6" r:id="rId5"/>
    <sheet name="Loss Event Type" sheetId="7" r:id="rId6"/>
  </sheets>
  <externalReferences>
    <externalReference r:id="rId7"/>
    <externalReference r:id="rId8"/>
    <externalReference r:id="rId9"/>
  </externalReferences>
  <definedNames>
    <definedName name="_xlnm._FilterDatabase" localSheetId="2" hidden="1">'Availability Risk Register'!$A$5:$V$399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64" i="1" l="1"/>
  <c r="M138" i="1" l="1"/>
  <c r="I32" i="1" l="1"/>
  <c r="H32" i="1"/>
  <c r="J32" i="1" s="1"/>
  <c r="M32" i="1" s="1"/>
  <c r="I31" i="1"/>
  <c r="H31" i="1"/>
  <c r="I30" i="1"/>
  <c r="H30" i="1"/>
  <c r="J30" i="1" s="1"/>
  <c r="M30" i="1" s="1"/>
  <c r="I29" i="1"/>
  <c r="H29" i="1"/>
  <c r="I28" i="1"/>
  <c r="H28" i="1"/>
  <c r="J28" i="1" s="1"/>
  <c r="M28" i="1" s="1"/>
  <c r="I27" i="1"/>
  <c r="H27" i="1"/>
  <c r="I26" i="1"/>
  <c r="H26" i="1"/>
  <c r="J26" i="1" s="1"/>
  <c r="M26" i="1" s="1"/>
  <c r="I25" i="1"/>
  <c r="H25" i="1"/>
  <c r="I24" i="1"/>
  <c r="H24" i="1"/>
  <c r="J24" i="1" s="1"/>
  <c r="M24" i="1" s="1"/>
  <c r="J25" i="1" l="1"/>
  <c r="M25" i="1" s="1"/>
  <c r="J27" i="1"/>
  <c r="M27" i="1" s="1"/>
  <c r="J29" i="1"/>
  <c r="M29" i="1" s="1"/>
  <c r="J31" i="1"/>
  <c r="M31" i="1" s="1"/>
  <c r="I342" i="1"/>
  <c r="H342" i="1"/>
  <c r="J342" i="1" l="1"/>
  <c r="M342" i="1" s="1"/>
  <c r="M297" i="1"/>
  <c r="M296" i="1"/>
  <c r="M295" i="1"/>
  <c r="M294" i="1"/>
  <c r="M293" i="1"/>
  <c r="M292" i="1"/>
  <c r="M291" i="1"/>
  <c r="M290" i="1"/>
  <c r="M289" i="1"/>
  <c r="M288" i="1"/>
  <c r="M287" i="1"/>
  <c r="M326"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2" i="1"/>
  <c r="M15" i="1"/>
  <c r="M14" i="1"/>
  <c r="I196" i="1" l="1"/>
  <c r="H196" i="1"/>
  <c r="J196" i="1" l="1"/>
  <c r="M196" i="1" s="1"/>
  <c r="I399" i="1"/>
  <c r="H399" i="1"/>
  <c r="I398" i="1"/>
  <c r="H398" i="1"/>
  <c r="I397" i="1"/>
  <c r="H397" i="1"/>
  <c r="I396" i="1"/>
  <c r="H396" i="1"/>
  <c r="I395" i="1"/>
  <c r="H395" i="1"/>
  <c r="I394" i="1"/>
  <c r="H394" i="1"/>
  <c r="I393" i="1"/>
  <c r="H393" i="1"/>
  <c r="I392" i="1"/>
  <c r="H392" i="1"/>
  <c r="I391" i="1"/>
  <c r="H391" i="1"/>
  <c r="I390" i="1"/>
  <c r="H390" i="1"/>
  <c r="I389" i="1"/>
  <c r="H389" i="1"/>
  <c r="I388" i="1"/>
  <c r="H388" i="1"/>
  <c r="I387" i="1"/>
  <c r="H387" i="1"/>
  <c r="I386" i="1"/>
  <c r="H386" i="1"/>
  <c r="I385" i="1"/>
  <c r="H385" i="1"/>
  <c r="I384" i="1"/>
  <c r="H384" i="1"/>
  <c r="I383" i="1"/>
  <c r="H383" i="1"/>
  <c r="I382" i="1"/>
  <c r="H382" i="1"/>
  <c r="I381" i="1"/>
  <c r="H381" i="1"/>
  <c r="I380" i="1"/>
  <c r="H380" i="1"/>
  <c r="I379" i="1"/>
  <c r="H379" i="1"/>
  <c r="I378" i="1"/>
  <c r="H378" i="1"/>
  <c r="I377" i="1"/>
  <c r="H377" i="1"/>
  <c r="I376" i="1"/>
  <c r="H376" i="1"/>
  <c r="I375" i="1"/>
  <c r="H375" i="1"/>
  <c r="I374" i="1"/>
  <c r="H374" i="1"/>
  <c r="I373" i="1"/>
  <c r="H373" i="1"/>
  <c r="I372" i="1"/>
  <c r="H372" i="1"/>
  <c r="I371" i="1"/>
  <c r="H371" i="1"/>
  <c r="I370" i="1"/>
  <c r="H370" i="1"/>
  <c r="I369" i="1"/>
  <c r="H369" i="1"/>
  <c r="I368" i="1"/>
  <c r="H368" i="1"/>
  <c r="I367" i="1"/>
  <c r="H367" i="1"/>
  <c r="I366" i="1"/>
  <c r="H366" i="1"/>
  <c r="I365" i="1"/>
  <c r="H365" i="1"/>
  <c r="I364" i="1"/>
  <c r="H364" i="1"/>
  <c r="I195" i="1"/>
  <c r="H195" i="1"/>
  <c r="J373" i="1" l="1"/>
  <c r="M373" i="1" s="1"/>
  <c r="J393" i="1"/>
  <c r="M393" i="1" s="1"/>
  <c r="J364" i="1"/>
  <c r="J397" i="1"/>
  <c r="M397" i="1" s="1"/>
  <c r="J399" i="1"/>
  <c r="M399" i="1" s="1"/>
  <c r="J395" i="1"/>
  <c r="M395" i="1" s="1"/>
  <c r="J389" i="1"/>
  <c r="M389" i="1" s="1"/>
  <c r="J386" i="1"/>
  <c r="M386" i="1" s="1"/>
  <c r="J385" i="1"/>
  <c r="M385" i="1" s="1"/>
  <c r="J381" i="1"/>
  <c r="M381" i="1" s="1"/>
  <c r="J379" i="1"/>
  <c r="M379" i="1" s="1"/>
  <c r="J377" i="1"/>
  <c r="M377" i="1" s="1"/>
  <c r="J369" i="1"/>
  <c r="M369" i="1" s="1"/>
  <c r="J365" i="1"/>
  <c r="M365" i="1" s="1"/>
  <c r="J376" i="1"/>
  <c r="M376" i="1" s="1"/>
  <c r="J380" i="1"/>
  <c r="M380" i="1" s="1"/>
  <c r="J384" i="1"/>
  <c r="M384" i="1" s="1"/>
  <c r="J368" i="1"/>
  <c r="M368" i="1" s="1"/>
  <c r="J370" i="1"/>
  <c r="M370" i="1" s="1"/>
  <c r="J392" i="1"/>
  <c r="M392" i="1" s="1"/>
  <c r="J396" i="1"/>
  <c r="M396" i="1" s="1"/>
  <c r="J367" i="1"/>
  <c r="M367" i="1" s="1"/>
  <c r="J372" i="1"/>
  <c r="M372" i="1" s="1"/>
  <c r="J374" i="1"/>
  <c r="M374" i="1" s="1"/>
  <c r="J383" i="1"/>
  <c r="M383" i="1" s="1"/>
  <c r="J388" i="1"/>
  <c r="M388" i="1" s="1"/>
  <c r="J390" i="1"/>
  <c r="M390" i="1" s="1"/>
  <c r="J195" i="1"/>
  <c r="M195" i="1" s="1"/>
  <c r="J371" i="1"/>
  <c r="M371" i="1" s="1"/>
  <c r="J378" i="1"/>
  <c r="M378" i="1" s="1"/>
  <c r="J387" i="1"/>
  <c r="M387" i="1" s="1"/>
  <c r="J394" i="1"/>
  <c r="M394" i="1" s="1"/>
  <c r="J366" i="1"/>
  <c r="M366" i="1" s="1"/>
  <c r="J375" i="1"/>
  <c r="M375" i="1" s="1"/>
  <c r="J382" i="1"/>
  <c r="M382" i="1" s="1"/>
  <c r="J391" i="1"/>
  <c r="M391" i="1" s="1"/>
  <c r="J398" i="1"/>
  <c r="M398" i="1" s="1"/>
  <c r="I194" i="1" l="1"/>
  <c r="H194" i="1"/>
  <c r="I193" i="1"/>
  <c r="H193" i="1"/>
  <c r="I192" i="1"/>
  <c r="H192" i="1"/>
  <c r="I191" i="1"/>
  <c r="H191" i="1"/>
  <c r="I190" i="1"/>
  <c r="H190" i="1"/>
  <c r="I189" i="1"/>
  <c r="H189" i="1"/>
  <c r="I188" i="1"/>
  <c r="H188" i="1"/>
  <c r="I187" i="1"/>
  <c r="H187" i="1"/>
  <c r="I186" i="1"/>
  <c r="H186" i="1"/>
  <c r="I185" i="1"/>
  <c r="H185" i="1"/>
  <c r="I184" i="1"/>
  <c r="H184" i="1"/>
  <c r="I183" i="1"/>
  <c r="H183" i="1"/>
  <c r="I182" i="1"/>
  <c r="H182" i="1"/>
  <c r="I181" i="1"/>
  <c r="H181" i="1"/>
  <c r="H179" i="1"/>
  <c r="I179" i="1"/>
  <c r="J192" i="1" l="1"/>
  <c r="M192" i="1" s="1"/>
  <c r="J181" i="1"/>
  <c r="M181" i="1" s="1"/>
  <c r="J193" i="1"/>
  <c r="M193" i="1" s="1"/>
  <c r="J194" i="1"/>
  <c r="M194" i="1" s="1"/>
  <c r="J184" i="1"/>
  <c r="M184" i="1" s="1"/>
  <c r="J190" i="1"/>
  <c r="M190" i="1" s="1"/>
  <c r="J186" i="1"/>
  <c r="M186" i="1" s="1"/>
  <c r="J185" i="1"/>
  <c r="M185" i="1" s="1"/>
  <c r="J189" i="1"/>
  <c r="M189" i="1" s="1"/>
  <c r="J187" i="1"/>
  <c r="M187" i="1" s="1"/>
  <c r="J183" i="1"/>
  <c r="M183" i="1" s="1"/>
  <c r="J188" i="1"/>
  <c r="M188" i="1" s="1"/>
  <c r="J191" i="1"/>
  <c r="M191" i="1" s="1"/>
  <c r="J182" i="1"/>
  <c r="M182" i="1" s="1"/>
  <c r="I363" i="1" l="1"/>
  <c r="H363" i="1"/>
  <c r="I362" i="1"/>
  <c r="H362" i="1"/>
  <c r="I361" i="1"/>
  <c r="H361" i="1"/>
  <c r="I360" i="1"/>
  <c r="H360" i="1"/>
  <c r="I359" i="1"/>
  <c r="H359" i="1"/>
  <c r="I358" i="1"/>
  <c r="H358" i="1"/>
  <c r="I357" i="1"/>
  <c r="H357" i="1"/>
  <c r="I356" i="1"/>
  <c r="H356" i="1"/>
  <c r="I355" i="1"/>
  <c r="H355" i="1"/>
  <c r="I354" i="1"/>
  <c r="H354" i="1"/>
  <c r="I353" i="1"/>
  <c r="H353" i="1"/>
  <c r="I352" i="1"/>
  <c r="H352" i="1"/>
  <c r="I351" i="1"/>
  <c r="H351" i="1"/>
  <c r="I350" i="1"/>
  <c r="H350" i="1"/>
  <c r="I349" i="1"/>
  <c r="H349" i="1"/>
  <c r="I348" i="1"/>
  <c r="H348" i="1"/>
  <c r="I347" i="1"/>
  <c r="H347" i="1"/>
  <c r="I346" i="1"/>
  <c r="H346" i="1"/>
  <c r="I345" i="1"/>
  <c r="H345" i="1"/>
  <c r="I344" i="1"/>
  <c r="H344" i="1"/>
  <c r="J344" i="1" s="1"/>
  <c r="M344" i="1" s="1"/>
  <c r="I343" i="1"/>
  <c r="H343" i="1"/>
  <c r="J361" i="1" l="1"/>
  <c r="M361" i="1" s="1"/>
  <c r="J346" i="1"/>
  <c r="M346" i="1" s="1"/>
  <c r="J343" i="1"/>
  <c r="M343" i="1" s="1"/>
  <c r="J357" i="1"/>
  <c r="M357" i="1" s="1"/>
  <c r="J345" i="1"/>
  <c r="M345" i="1" s="1"/>
  <c r="J360" i="1"/>
  <c r="M360" i="1" s="1"/>
  <c r="J363" i="1"/>
  <c r="M363" i="1" s="1"/>
  <c r="J348" i="1"/>
  <c r="M348" i="1" s="1"/>
  <c r="J359" i="1"/>
  <c r="M359" i="1" s="1"/>
  <c r="J355" i="1"/>
  <c r="M355" i="1" s="1"/>
  <c r="J358" i="1"/>
  <c r="M358" i="1" s="1"/>
  <c r="J362" i="1"/>
  <c r="M362" i="1" s="1"/>
  <c r="J350" i="1"/>
  <c r="M350" i="1" s="1"/>
  <c r="J351" i="1"/>
  <c r="M351" i="1" s="1"/>
  <c r="J353" i="1"/>
  <c r="M353" i="1" s="1"/>
  <c r="J347" i="1"/>
  <c r="M347" i="1" s="1"/>
  <c r="J356" i="1"/>
  <c r="M356" i="1" s="1"/>
  <c r="J354" i="1"/>
  <c r="M354" i="1" s="1"/>
  <c r="J352" i="1"/>
  <c r="M352" i="1" s="1"/>
  <c r="J349" i="1"/>
  <c r="M349" i="1" s="1"/>
  <c r="I238" i="1" l="1"/>
  <c r="H238" i="1"/>
  <c r="I237" i="1"/>
  <c r="H237" i="1"/>
  <c r="I236" i="1"/>
  <c r="H236" i="1"/>
  <c r="I235" i="1"/>
  <c r="H235" i="1"/>
  <c r="I234" i="1"/>
  <c r="H234" i="1"/>
  <c r="I233" i="1"/>
  <c r="H233" i="1"/>
  <c r="I232" i="1"/>
  <c r="H232" i="1"/>
  <c r="I231" i="1"/>
  <c r="H231" i="1"/>
  <c r="J237" i="1" l="1"/>
  <c r="M237" i="1" s="1"/>
  <c r="J234" i="1"/>
  <c r="M234" i="1" s="1"/>
  <c r="J236" i="1"/>
  <c r="M236" i="1" s="1"/>
  <c r="J235" i="1"/>
  <c r="M235" i="1" s="1"/>
  <c r="J233" i="1"/>
  <c r="M233" i="1" s="1"/>
  <c r="J232" i="1"/>
  <c r="M232" i="1" s="1"/>
  <c r="J238" i="1"/>
  <c r="M238" i="1" s="1"/>
  <c r="J231" i="1"/>
  <c r="M231" i="1" s="1"/>
  <c r="I341" i="1" l="1"/>
  <c r="H341" i="1"/>
  <c r="I340" i="1"/>
  <c r="H340" i="1"/>
  <c r="I339" i="1"/>
  <c r="H339" i="1"/>
  <c r="I338" i="1"/>
  <c r="H338" i="1"/>
  <c r="I337" i="1"/>
  <c r="H337" i="1"/>
  <c r="I336" i="1"/>
  <c r="H336" i="1"/>
  <c r="I335" i="1"/>
  <c r="H335" i="1"/>
  <c r="I334" i="1"/>
  <c r="H334" i="1"/>
  <c r="I333" i="1"/>
  <c r="H333" i="1"/>
  <c r="I332" i="1"/>
  <c r="H332" i="1"/>
  <c r="I331" i="1"/>
  <c r="H331" i="1"/>
  <c r="I330" i="1"/>
  <c r="H330" i="1"/>
  <c r="I329" i="1"/>
  <c r="H329" i="1"/>
  <c r="I328" i="1"/>
  <c r="H328" i="1"/>
  <c r="I327" i="1"/>
  <c r="H327" i="1"/>
  <c r="J327" i="1" l="1"/>
  <c r="M327" i="1" s="1"/>
  <c r="J336" i="1"/>
  <c r="M336" i="1" s="1"/>
  <c r="J333" i="1"/>
  <c r="M333" i="1" s="1"/>
  <c r="J330" i="1"/>
  <c r="M330" i="1" s="1"/>
  <c r="J338" i="1"/>
  <c r="M338" i="1" s="1"/>
  <c r="J341" i="1"/>
  <c r="M341" i="1" s="1"/>
  <c r="J331" i="1"/>
  <c r="M331" i="1" s="1"/>
  <c r="J329" i="1"/>
  <c r="M329" i="1" s="1"/>
  <c r="J340" i="1"/>
  <c r="M340" i="1" s="1"/>
  <c r="J335" i="1"/>
  <c r="M335" i="1" s="1"/>
  <c r="J339" i="1"/>
  <c r="M339" i="1" s="1"/>
  <c r="J334" i="1"/>
  <c r="M334" i="1" s="1"/>
  <c r="J337" i="1"/>
  <c r="M337" i="1" s="1"/>
  <c r="J332" i="1"/>
  <c r="M332" i="1" s="1"/>
  <c r="J328" i="1"/>
  <c r="M328" i="1" s="1"/>
  <c r="I325" i="1" l="1"/>
  <c r="H325" i="1"/>
  <c r="I324" i="1"/>
  <c r="H324" i="1"/>
  <c r="I323" i="1"/>
  <c r="H323" i="1"/>
  <c r="I322" i="1"/>
  <c r="H322" i="1"/>
  <c r="I321" i="1"/>
  <c r="H321" i="1"/>
  <c r="I320" i="1"/>
  <c r="H320" i="1"/>
  <c r="I319" i="1"/>
  <c r="H319" i="1"/>
  <c r="I318" i="1"/>
  <c r="H318" i="1"/>
  <c r="I317" i="1"/>
  <c r="H317" i="1"/>
  <c r="I316" i="1"/>
  <c r="H316" i="1"/>
  <c r="I315" i="1"/>
  <c r="H315" i="1"/>
  <c r="I314" i="1"/>
  <c r="H314" i="1"/>
  <c r="I313" i="1"/>
  <c r="H313" i="1"/>
  <c r="I312" i="1"/>
  <c r="H312" i="1"/>
  <c r="I311" i="1"/>
  <c r="H311" i="1"/>
  <c r="I310" i="1"/>
  <c r="H310" i="1"/>
  <c r="I309" i="1"/>
  <c r="H309" i="1"/>
  <c r="I308" i="1"/>
  <c r="H308" i="1"/>
  <c r="I307" i="1"/>
  <c r="H307" i="1"/>
  <c r="I306" i="1"/>
  <c r="H306" i="1"/>
  <c r="I305" i="1"/>
  <c r="H305" i="1"/>
  <c r="I304" i="1"/>
  <c r="H304" i="1"/>
  <c r="I303" i="1"/>
  <c r="H303" i="1"/>
  <c r="I302" i="1"/>
  <c r="H302" i="1"/>
  <c r="I301" i="1"/>
  <c r="H301" i="1"/>
  <c r="I300" i="1"/>
  <c r="H300" i="1"/>
  <c r="I299" i="1"/>
  <c r="H299" i="1"/>
  <c r="I298" i="1"/>
  <c r="H298" i="1"/>
  <c r="J310" i="1" l="1"/>
  <c r="M310" i="1" s="1"/>
  <c r="J304" i="1"/>
  <c r="M304" i="1" s="1"/>
  <c r="J315" i="1"/>
  <c r="M315" i="1" s="1"/>
  <c r="J308" i="1"/>
  <c r="M308" i="1" s="1"/>
  <c r="J307" i="1"/>
  <c r="M307" i="1" s="1"/>
  <c r="J301" i="1"/>
  <c r="M301" i="1" s="1"/>
  <c r="J306" i="1"/>
  <c r="M306" i="1" s="1"/>
  <c r="J312" i="1"/>
  <c r="M312" i="1" s="1"/>
  <c r="J317" i="1"/>
  <c r="M317" i="1" s="1"/>
  <c r="J309" i="1"/>
  <c r="M309" i="1" s="1"/>
  <c r="J300" i="1"/>
  <c r="M300" i="1" s="1"/>
  <c r="J322" i="1"/>
  <c r="M322" i="1" s="1"/>
  <c r="J302" i="1"/>
  <c r="M302" i="1" s="1"/>
  <c r="J324" i="1"/>
  <c r="M324" i="1" s="1"/>
  <c r="J319" i="1"/>
  <c r="M319" i="1" s="1"/>
  <c r="J314" i="1"/>
  <c r="M314" i="1" s="1"/>
  <c r="J318" i="1"/>
  <c r="M318" i="1" s="1"/>
  <c r="J320" i="1"/>
  <c r="M320" i="1" s="1"/>
  <c r="J305" i="1"/>
  <c r="M305" i="1" s="1"/>
  <c r="J316" i="1"/>
  <c r="M316" i="1" s="1"/>
  <c r="J303" i="1"/>
  <c r="M303" i="1" s="1"/>
  <c r="J325" i="1"/>
  <c r="M325" i="1" s="1"/>
  <c r="J323" i="1"/>
  <c r="M323" i="1" s="1"/>
  <c r="J321" i="1"/>
  <c r="M321" i="1" s="1"/>
  <c r="J313" i="1"/>
  <c r="M313" i="1" s="1"/>
  <c r="J311" i="1"/>
  <c r="M311" i="1" s="1"/>
  <c r="J299" i="1"/>
  <c r="M299" i="1" s="1"/>
  <c r="J298" i="1"/>
  <c r="M298" i="1" s="1"/>
  <c r="S256" i="1" l="1"/>
  <c r="S230" i="1" l="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6"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23" i="1"/>
  <c r="S22" i="1"/>
  <c r="S21" i="1"/>
  <c r="S20" i="1"/>
  <c r="S19" i="1"/>
  <c r="S18" i="1"/>
  <c r="S17" i="1"/>
  <c r="S16" i="1"/>
  <c r="S15" i="1"/>
  <c r="S14" i="1"/>
  <c r="S13" i="1"/>
  <c r="S12" i="1"/>
  <c r="S11" i="1"/>
  <c r="S10" i="1"/>
  <c r="S9" i="1"/>
  <c r="S8" i="1"/>
  <c r="I230" i="1" l="1"/>
  <c r="H230" i="1"/>
  <c r="I229" i="1"/>
  <c r="H229" i="1"/>
  <c r="I228" i="1"/>
  <c r="H228" i="1"/>
  <c r="I227" i="1"/>
  <c r="H227" i="1"/>
  <c r="I226" i="1"/>
  <c r="H226" i="1"/>
  <c r="I225" i="1"/>
  <c r="H225" i="1"/>
  <c r="I224" i="1"/>
  <c r="H224" i="1"/>
  <c r="I223" i="1"/>
  <c r="H223" i="1"/>
  <c r="I222" i="1"/>
  <c r="H222" i="1"/>
  <c r="I221" i="1"/>
  <c r="H221" i="1"/>
  <c r="I220" i="1"/>
  <c r="H220" i="1"/>
  <c r="I219" i="1"/>
  <c r="H219" i="1"/>
  <c r="I218" i="1"/>
  <c r="H218" i="1"/>
  <c r="I217" i="1"/>
  <c r="H217" i="1"/>
  <c r="I216" i="1"/>
  <c r="H216" i="1"/>
  <c r="I215" i="1"/>
  <c r="H215" i="1"/>
  <c r="I214" i="1"/>
  <c r="H214" i="1"/>
  <c r="I213" i="1"/>
  <c r="H213" i="1"/>
  <c r="I212" i="1"/>
  <c r="H212" i="1"/>
  <c r="I211" i="1"/>
  <c r="H211" i="1"/>
  <c r="I210" i="1"/>
  <c r="H210" i="1"/>
  <c r="I209" i="1"/>
  <c r="H209" i="1"/>
  <c r="I208" i="1"/>
  <c r="H208" i="1"/>
  <c r="I207" i="1"/>
  <c r="H207" i="1"/>
  <c r="I206" i="1"/>
  <c r="H206" i="1"/>
  <c r="I205" i="1"/>
  <c r="H205" i="1"/>
  <c r="I204" i="1"/>
  <c r="H204" i="1"/>
  <c r="I203" i="1"/>
  <c r="H203" i="1"/>
  <c r="I202" i="1"/>
  <c r="H202" i="1"/>
  <c r="I201" i="1"/>
  <c r="H201" i="1"/>
  <c r="I200" i="1"/>
  <c r="H200" i="1"/>
  <c r="I199" i="1"/>
  <c r="H199" i="1"/>
  <c r="I198" i="1"/>
  <c r="H198" i="1"/>
  <c r="I197" i="1"/>
  <c r="H197" i="1"/>
  <c r="J206" i="1" l="1"/>
  <c r="M206" i="1" s="1"/>
  <c r="J217" i="1"/>
  <c r="M217" i="1" s="1"/>
  <c r="J214" i="1"/>
  <c r="M214" i="1" s="1"/>
  <c r="J215" i="1"/>
  <c r="M215" i="1" s="1"/>
  <c r="J225" i="1"/>
  <c r="M225" i="1" s="1"/>
  <c r="J227" i="1"/>
  <c r="M227" i="1" s="1"/>
  <c r="J207" i="1"/>
  <c r="M207" i="1" s="1"/>
  <c r="J218" i="1"/>
  <c r="M218" i="1" s="1"/>
  <c r="J228" i="1"/>
  <c r="M228" i="1" s="1"/>
  <c r="J203" i="1"/>
  <c r="M203" i="1" s="1"/>
  <c r="J204" i="1"/>
  <c r="M204" i="1" s="1"/>
  <c r="J213" i="1"/>
  <c r="M213" i="1" s="1"/>
  <c r="J197" i="1"/>
  <c r="M197" i="1" s="1"/>
  <c r="J208" i="1"/>
  <c r="M208" i="1" s="1"/>
  <c r="J219" i="1"/>
  <c r="M219" i="1" s="1"/>
  <c r="J229" i="1"/>
  <c r="M229" i="1" s="1"/>
  <c r="J209" i="1"/>
  <c r="M209" i="1" s="1"/>
  <c r="J220" i="1"/>
  <c r="M220" i="1" s="1"/>
  <c r="J230" i="1"/>
  <c r="M230" i="1" s="1"/>
  <c r="J224" i="1"/>
  <c r="M224" i="1" s="1"/>
  <c r="J200" i="1"/>
  <c r="M200" i="1" s="1"/>
  <c r="J211" i="1"/>
  <c r="M211" i="1" s="1"/>
  <c r="J221" i="1"/>
  <c r="M221" i="1" s="1"/>
  <c r="J205" i="1"/>
  <c r="M205" i="1" s="1"/>
  <c r="J216" i="1"/>
  <c r="M216" i="1" s="1"/>
  <c r="J226" i="1"/>
  <c r="M226" i="1" s="1"/>
  <c r="J201" i="1"/>
  <c r="M201" i="1" s="1"/>
  <c r="J212" i="1"/>
  <c r="M212" i="1" s="1"/>
  <c r="J222" i="1"/>
  <c r="M222" i="1" s="1"/>
  <c r="J223" i="1"/>
  <c r="M223" i="1" s="1"/>
  <c r="J198" i="1"/>
  <c r="M198" i="1" s="1"/>
  <c r="J210" i="1"/>
  <c r="M210" i="1" s="1"/>
  <c r="J202" i="1"/>
  <c r="M202" i="1" s="1"/>
  <c r="J199" i="1"/>
  <c r="M199" i="1" s="1"/>
  <c r="I180" i="1" l="1"/>
  <c r="H180" i="1"/>
  <c r="I178" i="1"/>
  <c r="H178" i="1"/>
  <c r="I177" i="1"/>
  <c r="H177" i="1"/>
  <c r="I176" i="1"/>
  <c r="H176" i="1"/>
  <c r="I175" i="1"/>
  <c r="H175" i="1"/>
  <c r="I174" i="1"/>
  <c r="H174" i="1"/>
  <c r="I173" i="1"/>
  <c r="H173" i="1"/>
  <c r="I172" i="1"/>
  <c r="H172" i="1"/>
  <c r="I171" i="1"/>
  <c r="H171" i="1"/>
  <c r="I170" i="1"/>
  <c r="H170" i="1"/>
  <c r="I169" i="1"/>
  <c r="H169" i="1"/>
  <c r="I168" i="1"/>
  <c r="H168" i="1"/>
  <c r="I167" i="1"/>
  <c r="H167" i="1"/>
  <c r="I166" i="1"/>
  <c r="H166" i="1"/>
  <c r="I165" i="1"/>
  <c r="H165" i="1"/>
  <c r="I164" i="1"/>
  <c r="H164" i="1"/>
  <c r="I163" i="1"/>
  <c r="H163" i="1"/>
  <c r="J165" i="1" l="1"/>
  <c r="M165" i="1" s="1"/>
  <c r="J172" i="1"/>
  <c r="M172" i="1" s="1"/>
  <c r="J164" i="1"/>
  <c r="M164" i="1" s="1"/>
  <c r="J175" i="1"/>
  <c r="M175" i="1" s="1"/>
  <c r="J166" i="1"/>
  <c r="M166" i="1" s="1"/>
  <c r="J163" i="1"/>
  <c r="M163" i="1" s="1"/>
  <c r="J180" i="1"/>
  <c r="M180" i="1" s="1"/>
  <c r="J173" i="1"/>
  <c r="M173" i="1" s="1"/>
  <c r="J174" i="1"/>
  <c r="M174" i="1" s="1"/>
  <c r="J170" i="1"/>
  <c r="M170" i="1" s="1"/>
  <c r="J178" i="1"/>
  <c r="M178" i="1" s="1"/>
  <c r="J169" i="1"/>
  <c r="M169" i="1" s="1"/>
  <c r="J168" i="1"/>
  <c r="M168" i="1" s="1"/>
  <c r="J179" i="1"/>
  <c r="M179" i="1" s="1"/>
  <c r="J177" i="1"/>
  <c r="M177" i="1" s="1"/>
  <c r="J176" i="1"/>
  <c r="M176" i="1" s="1"/>
  <c r="J171" i="1"/>
  <c r="M171" i="1" s="1"/>
  <c r="J167" i="1"/>
  <c r="M167" i="1" s="1"/>
  <c r="I162" i="1" l="1"/>
  <c r="H162" i="1"/>
  <c r="I161" i="1"/>
  <c r="H161" i="1"/>
  <c r="I160" i="1"/>
  <c r="H160" i="1"/>
  <c r="I159" i="1"/>
  <c r="H159" i="1"/>
  <c r="I158" i="1"/>
  <c r="H158" i="1"/>
  <c r="I157" i="1"/>
  <c r="H157" i="1"/>
  <c r="I156" i="1"/>
  <c r="H156" i="1"/>
  <c r="I155" i="1"/>
  <c r="H155" i="1"/>
  <c r="I154" i="1"/>
  <c r="H154" i="1"/>
  <c r="I153" i="1"/>
  <c r="H153" i="1"/>
  <c r="I152" i="1"/>
  <c r="H152" i="1"/>
  <c r="I151" i="1"/>
  <c r="H151" i="1"/>
  <c r="I150" i="1"/>
  <c r="H150" i="1"/>
  <c r="I149" i="1"/>
  <c r="H149" i="1"/>
  <c r="I148" i="1"/>
  <c r="H148" i="1"/>
  <c r="I147" i="1"/>
  <c r="H147" i="1"/>
  <c r="I146" i="1"/>
  <c r="H146" i="1"/>
  <c r="I145" i="1"/>
  <c r="H145" i="1"/>
  <c r="I144" i="1"/>
  <c r="H144" i="1"/>
  <c r="I143" i="1"/>
  <c r="H143" i="1"/>
  <c r="I142" i="1"/>
  <c r="H142" i="1"/>
  <c r="I141" i="1"/>
  <c r="H141" i="1"/>
  <c r="I140" i="1"/>
  <c r="H140" i="1"/>
  <c r="I139" i="1"/>
  <c r="H139" i="1"/>
  <c r="I138" i="1"/>
  <c r="H138" i="1"/>
  <c r="J143" i="1" l="1"/>
  <c r="M143" i="1" s="1"/>
  <c r="J155" i="1"/>
  <c r="M155" i="1" s="1"/>
  <c r="J142" i="1"/>
  <c r="M142" i="1" s="1"/>
  <c r="J153" i="1"/>
  <c r="M153" i="1" s="1"/>
  <c r="J144" i="1"/>
  <c r="M144" i="1" s="1"/>
  <c r="J147" i="1"/>
  <c r="M147" i="1" s="1"/>
  <c r="J154" i="1"/>
  <c r="M154" i="1" s="1"/>
  <c r="J148" i="1"/>
  <c r="M148" i="1" s="1"/>
  <c r="J139" i="1"/>
  <c r="M139" i="1" s="1"/>
  <c r="J150" i="1"/>
  <c r="M150" i="1" s="1"/>
  <c r="J138" i="1"/>
  <c r="J149" i="1"/>
  <c r="M149" i="1" s="1"/>
  <c r="J159" i="1"/>
  <c r="M159" i="1" s="1"/>
  <c r="J160" i="1"/>
  <c r="M160" i="1" s="1"/>
  <c r="J161" i="1"/>
  <c r="M161" i="1" s="1"/>
  <c r="J141" i="1"/>
  <c r="M141" i="1" s="1"/>
  <c r="J145" i="1"/>
  <c r="M145" i="1" s="1"/>
  <c r="J152" i="1"/>
  <c r="M152" i="1" s="1"/>
  <c r="J146" i="1"/>
  <c r="M146" i="1" s="1"/>
  <c r="J157" i="1"/>
  <c r="M157" i="1" s="1"/>
  <c r="J158" i="1"/>
  <c r="M158" i="1" s="1"/>
  <c r="J140" i="1"/>
  <c r="M140" i="1" s="1"/>
  <c r="J151" i="1"/>
  <c r="M151" i="1" s="1"/>
  <c r="J162" i="1"/>
  <c r="M162" i="1" s="1"/>
  <c r="J156" i="1"/>
  <c r="M156" i="1" s="1"/>
  <c r="I137" i="1" l="1"/>
  <c r="H137" i="1"/>
  <c r="I136" i="1"/>
  <c r="H136" i="1"/>
  <c r="I135" i="1"/>
  <c r="H135" i="1"/>
  <c r="I134" i="1"/>
  <c r="H134" i="1"/>
  <c r="I133" i="1"/>
  <c r="H133" i="1"/>
  <c r="I132" i="1"/>
  <c r="H132" i="1"/>
  <c r="I131" i="1"/>
  <c r="H131" i="1"/>
  <c r="I130" i="1"/>
  <c r="H130" i="1"/>
  <c r="I129" i="1"/>
  <c r="H129" i="1"/>
  <c r="I128" i="1"/>
  <c r="H128" i="1"/>
  <c r="I127" i="1"/>
  <c r="H127" i="1"/>
  <c r="I126" i="1"/>
  <c r="H126" i="1"/>
  <c r="I125" i="1"/>
  <c r="H125" i="1"/>
  <c r="I124" i="1"/>
  <c r="H124" i="1"/>
  <c r="I123" i="1"/>
  <c r="H123" i="1"/>
  <c r="I122" i="1"/>
  <c r="H122" i="1"/>
  <c r="I121" i="1"/>
  <c r="H121" i="1"/>
  <c r="I120" i="1"/>
  <c r="H120" i="1"/>
  <c r="I119" i="1"/>
  <c r="H119" i="1"/>
  <c r="I118" i="1"/>
  <c r="H118" i="1"/>
  <c r="I117" i="1"/>
  <c r="H117" i="1"/>
  <c r="I116" i="1"/>
  <c r="H116" i="1"/>
  <c r="I115" i="1"/>
  <c r="H115" i="1"/>
  <c r="I114" i="1"/>
  <c r="H114" i="1"/>
  <c r="I113" i="1"/>
  <c r="H113" i="1"/>
  <c r="I112" i="1"/>
  <c r="H112" i="1"/>
  <c r="I111" i="1"/>
  <c r="H111" i="1"/>
  <c r="I110" i="1"/>
  <c r="H110" i="1"/>
  <c r="I109" i="1"/>
  <c r="H109" i="1"/>
  <c r="J119" i="1" l="1"/>
  <c r="M119" i="1" s="1"/>
  <c r="J118" i="1"/>
  <c r="M118" i="1" s="1"/>
  <c r="J129" i="1"/>
  <c r="M129" i="1" s="1"/>
  <c r="J110" i="1"/>
  <c r="M110" i="1" s="1"/>
  <c r="J121" i="1"/>
  <c r="M121" i="1" s="1"/>
  <c r="J132" i="1"/>
  <c r="M132" i="1" s="1"/>
  <c r="J111" i="1"/>
  <c r="M111" i="1" s="1"/>
  <c r="J122" i="1"/>
  <c r="M122" i="1" s="1"/>
  <c r="J117" i="1"/>
  <c r="M117" i="1" s="1"/>
  <c r="J128" i="1"/>
  <c r="M128" i="1" s="1"/>
  <c r="J114" i="1"/>
  <c r="M114" i="1" s="1"/>
  <c r="J125" i="1"/>
  <c r="M125" i="1" s="1"/>
  <c r="J136" i="1"/>
  <c r="M136" i="1" s="1"/>
  <c r="J133" i="1"/>
  <c r="M133" i="1" s="1"/>
  <c r="J130" i="1"/>
  <c r="M130" i="1" s="1"/>
  <c r="J112" i="1"/>
  <c r="M112" i="1" s="1"/>
  <c r="J135" i="1"/>
  <c r="M135" i="1" s="1"/>
  <c r="J115" i="1"/>
  <c r="M115" i="1" s="1"/>
  <c r="J126" i="1"/>
  <c r="M126" i="1" s="1"/>
  <c r="J137" i="1"/>
  <c r="M137" i="1" s="1"/>
  <c r="J109" i="1"/>
  <c r="M109" i="1" s="1"/>
  <c r="J120" i="1"/>
  <c r="M120" i="1" s="1"/>
  <c r="J127" i="1"/>
  <c r="M127" i="1" s="1"/>
  <c r="J131" i="1"/>
  <c r="M131" i="1" s="1"/>
  <c r="J113" i="1"/>
  <c r="M113" i="1" s="1"/>
  <c r="J124" i="1"/>
  <c r="M124" i="1" s="1"/>
  <c r="J134" i="1"/>
  <c r="M134" i="1" s="1"/>
  <c r="J116" i="1"/>
  <c r="M116" i="1" s="1"/>
  <c r="J123" i="1"/>
  <c r="M123" i="1" s="1"/>
  <c r="I108" i="1" l="1"/>
  <c r="H108" i="1"/>
  <c r="I107" i="1"/>
  <c r="H107" i="1"/>
  <c r="I106" i="1"/>
  <c r="H106" i="1"/>
  <c r="I105" i="1"/>
  <c r="H105" i="1"/>
  <c r="I104" i="1"/>
  <c r="H104" i="1"/>
  <c r="I103" i="1"/>
  <c r="H103" i="1"/>
  <c r="I102" i="1"/>
  <c r="H102" i="1"/>
  <c r="I101" i="1"/>
  <c r="H101" i="1"/>
  <c r="I100" i="1"/>
  <c r="H100" i="1"/>
  <c r="I99" i="1"/>
  <c r="H99" i="1"/>
  <c r="I98" i="1"/>
  <c r="H98" i="1"/>
  <c r="I97" i="1"/>
  <c r="H97" i="1"/>
  <c r="I96" i="1"/>
  <c r="H96" i="1"/>
  <c r="I95" i="1"/>
  <c r="H95" i="1"/>
  <c r="I94" i="1"/>
  <c r="H94" i="1"/>
  <c r="I93" i="1"/>
  <c r="H93" i="1"/>
  <c r="I92" i="1"/>
  <c r="H92" i="1"/>
  <c r="I91" i="1"/>
  <c r="H91" i="1"/>
  <c r="I90" i="1"/>
  <c r="H90" i="1"/>
  <c r="I89" i="1"/>
  <c r="H89" i="1"/>
  <c r="I88" i="1"/>
  <c r="H88" i="1"/>
  <c r="I87" i="1"/>
  <c r="H87" i="1"/>
  <c r="I86" i="1"/>
  <c r="H86" i="1"/>
  <c r="I85" i="1"/>
  <c r="H85" i="1"/>
  <c r="I84" i="1"/>
  <c r="H84" i="1"/>
  <c r="I83" i="1"/>
  <c r="H83" i="1"/>
  <c r="I82" i="1"/>
  <c r="H82" i="1"/>
  <c r="I81" i="1"/>
  <c r="H81" i="1"/>
  <c r="I80" i="1"/>
  <c r="H80" i="1"/>
  <c r="I79" i="1"/>
  <c r="H79" i="1"/>
  <c r="I78" i="1"/>
  <c r="H78" i="1"/>
  <c r="I77" i="1"/>
  <c r="H77" i="1"/>
  <c r="I76" i="1"/>
  <c r="H76" i="1"/>
  <c r="I75" i="1"/>
  <c r="H75" i="1"/>
  <c r="I74" i="1"/>
  <c r="H74" i="1"/>
  <c r="I73" i="1"/>
  <c r="H73" i="1"/>
  <c r="I72" i="1"/>
  <c r="H72" i="1"/>
  <c r="I71" i="1"/>
  <c r="H71" i="1"/>
  <c r="I70" i="1"/>
  <c r="H70" i="1"/>
  <c r="I69" i="1"/>
  <c r="H69" i="1"/>
  <c r="I68" i="1"/>
  <c r="H68" i="1"/>
  <c r="I67" i="1"/>
  <c r="H67" i="1"/>
  <c r="I66" i="1"/>
  <c r="H66" i="1"/>
  <c r="I65" i="1"/>
  <c r="H65" i="1"/>
  <c r="I64" i="1"/>
  <c r="H64" i="1"/>
  <c r="I63" i="1"/>
  <c r="H63" i="1"/>
  <c r="I62" i="1"/>
  <c r="H62" i="1"/>
  <c r="I61" i="1"/>
  <c r="H61" i="1"/>
  <c r="I60" i="1"/>
  <c r="H60" i="1"/>
  <c r="I59" i="1"/>
  <c r="H59" i="1"/>
  <c r="I58" i="1"/>
  <c r="H58" i="1"/>
  <c r="I57" i="1"/>
  <c r="H57" i="1"/>
  <c r="I56" i="1"/>
  <c r="H56" i="1"/>
  <c r="I55" i="1"/>
  <c r="H55" i="1"/>
  <c r="I54" i="1"/>
  <c r="H54" i="1"/>
  <c r="I53" i="1"/>
  <c r="H53" i="1"/>
  <c r="I52" i="1"/>
  <c r="H52" i="1"/>
  <c r="I51" i="1"/>
  <c r="H51" i="1"/>
  <c r="I50" i="1"/>
  <c r="H50" i="1"/>
  <c r="I49" i="1"/>
  <c r="H49" i="1"/>
  <c r="I48" i="1"/>
  <c r="H48" i="1"/>
  <c r="I47" i="1"/>
  <c r="H47" i="1"/>
  <c r="I46" i="1"/>
  <c r="H46" i="1"/>
  <c r="I45" i="1"/>
  <c r="H45" i="1"/>
  <c r="I44" i="1"/>
  <c r="H44" i="1"/>
  <c r="I43" i="1"/>
  <c r="H43" i="1"/>
  <c r="I42" i="1"/>
  <c r="H42" i="1"/>
  <c r="I41" i="1"/>
  <c r="H41" i="1"/>
  <c r="I40" i="1"/>
  <c r="H40" i="1"/>
  <c r="I39" i="1"/>
  <c r="H39" i="1"/>
  <c r="I38" i="1"/>
  <c r="H38" i="1"/>
  <c r="I37" i="1"/>
  <c r="H37" i="1"/>
  <c r="I36" i="1"/>
  <c r="H36" i="1"/>
  <c r="I35" i="1"/>
  <c r="H35" i="1"/>
  <c r="I34" i="1"/>
  <c r="H34" i="1"/>
  <c r="I33" i="1"/>
  <c r="H33" i="1"/>
  <c r="J56" i="1" l="1"/>
  <c r="M56" i="1" s="1"/>
  <c r="J45" i="1"/>
  <c r="M45" i="1" s="1"/>
  <c r="J67" i="1"/>
  <c r="M67" i="1" s="1"/>
  <c r="J46" i="1"/>
  <c r="M46" i="1" s="1"/>
  <c r="J68" i="1"/>
  <c r="M68" i="1" s="1"/>
  <c r="J79" i="1"/>
  <c r="M79" i="1" s="1"/>
  <c r="J101" i="1"/>
  <c r="M101" i="1" s="1"/>
  <c r="J70" i="1"/>
  <c r="M70" i="1" s="1"/>
  <c r="J81" i="1"/>
  <c r="M81" i="1" s="1"/>
  <c r="J92" i="1"/>
  <c r="M92" i="1" s="1"/>
  <c r="J104" i="1"/>
  <c r="M104" i="1" s="1"/>
  <c r="J37" i="1"/>
  <c r="M37" i="1" s="1"/>
  <c r="J90" i="1"/>
  <c r="M90" i="1" s="1"/>
  <c r="J103" i="1"/>
  <c r="M103" i="1" s="1"/>
  <c r="J98" i="1"/>
  <c r="M98" i="1" s="1"/>
  <c r="J35" i="1"/>
  <c r="M35" i="1" s="1"/>
  <c r="J41" i="1"/>
  <c r="M41" i="1" s="1"/>
  <c r="J52" i="1"/>
  <c r="M52" i="1" s="1"/>
  <c r="J63" i="1"/>
  <c r="M63" i="1" s="1"/>
  <c r="J74" i="1"/>
  <c r="M74" i="1" s="1"/>
  <c r="J85" i="1"/>
  <c r="M85" i="1" s="1"/>
  <c r="J96" i="1"/>
  <c r="M96" i="1" s="1"/>
  <c r="J107" i="1"/>
  <c r="M107" i="1" s="1"/>
  <c r="J40" i="1"/>
  <c r="M40" i="1" s="1"/>
  <c r="J51" i="1"/>
  <c r="M51" i="1" s="1"/>
  <c r="J62" i="1"/>
  <c r="M62" i="1" s="1"/>
  <c r="J73" i="1"/>
  <c r="M73" i="1" s="1"/>
  <c r="J95" i="1"/>
  <c r="M95" i="1" s="1"/>
  <c r="J47" i="1"/>
  <c r="M47" i="1" s="1"/>
  <c r="J69" i="1"/>
  <c r="M69" i="1" s="1"/>
  <c r="J91" i="1"/>
  <c r="M91" i="1" s="1"/>
  <c r="J33" i="1"/>
  <c r="M33" i="1" s="1"/>
  <c r="J44" i="1"/>
  <c r="M44" i="1" s="1"/>
  <c r="J55" i="1"/>
  <c r="M55" i="1" s="1"/>
  <c r="J66" i="1"/>
  <c r="M66" i="1" s="1"/>
  <c r="J88" i="1"/>
  <c r="M88" i="1" s="1"/>
  <c r="J99" i="1"/>
  <c r="M99" i="1" s="1"/>
  <c r="J39" i="1"/>
  <c r="M39" i="1" s="1"/>
  <c r="J50" i="1"/>
  <c r="M50" i="1" s="1"/>
  <c r="J61" i="1"/>
  <c r="M61" i="1" s="1"/>
  <c r="J72" i="1"/>
  <c r="M72" i="1" s="1"/>
  <c r="J83" i="1"/>
  <c r="M83" i="1" s="1"/>
  <c r="J94" i="1"/>
  <c r="M94" i="1" s="1"/>
  <c r="J105" i="1"/>
  <c r="M105" i="1" s="1"/>
  <c r="J42" i="1"/>
  <c r="M42" i="1" s="1"/>
  <c r="J64" i="1"/>
  <c r="M64" i="1" s="1"/>
  <c r="J86" i="1"/>
  <c r="M86" i="1" s="1"/>
  <c r="J97" i="1"/>
  <c r="M97" i="1" s="1"/>
  <c r="J108" i="1"/>
  <c r="M108" i="1" s="1"/>
  <c r="J48" i="1"/>
  <c r="M48" i="1" s="1"/>
  <c r="J89" i="1"/>
  <c r="M89" i="1" s="1"/>
  <c r="J106" i="1"/>
  <c r="M106" i="1" s="1"/>
  <c r="J87" i="1"/>
  <c r="M87" i="1" s="1"/>
  <c r="J100" i="1"/>
  <c r="M100" i="1" s="1"/>
  <c r="J58" i="1"/>
  <c r="M58" i="1" s="1"/>
  <c r="J38" i="1"/>
  <c r="M38" i="1" s="1"/>
  <c r="J60" i="1"/>
  <c r="M60" i="1" s="1"/>
  <c r="J82" i="1"/>
  <c r="M82" i="1" s="1"/>
  <c r="J34" i="1"/>
  <c r="M34" i="1" s="1"/>
  <c r="J80" i="1"/>
  <c r="M80" i="1" s="1"/>
  <c r="J102" i="1"/>
  <c r="M102" i="1" s="1"/>
  <c r="J78" i="1"/>
  <c r="M78" i="1" s="1"/>
  <c r="J43" i="1"/>
  <c r="M43" i="1" s="1"/>
  <c r="J54" i="1"/>
  <c r="M54" i="1" s="1"/>
  <c r="J65" i="1"/>
  <c r="M65" i="1" s="1"/>
  <c r="J93" i="1"/>
  <c r="M93" i="1" s="1"/>
  <c r="J84" i="1"/>
  <c r="M84" i="1" s="1"/>
  <c r="J77" i="1"/>
  <c r="M77" i="1" s="1"/>
  <c r="J76" i="1"/>
  <c r="M76" i="1" s="1"/>
  <c r="J75" i="1"/>
  <c r="M75" i="1" s="1"/>
  <c r="J71" i="1"/>
  <c r="M71" i="1" s="1"/>
  <c r="J59" i="1"/>
  <c r="M59" i="1" s="1"/>
  <c r="J57" i="1"/>
  <c r="M57" i="1" s="1"/>
  <c r="J53" i="1"/>
  <c r="M53" i="1" s="1"/>
  <c r="J49" i="1"/>
  <c r="M49" i="1" s="1"/>
  <c r="J36" i="1"/>
  <c r="M36" i="1" s="1"/>
  <c r="G30" i="6"/>
  <c r="F30" i="6"/>
  <c r="E30" i="6"/>
  <c r="D30" i="6"/>
  <c r="C30" i="6"/>
  <c r="G29" i="6"/>
  <c r="F29" i="6"/>
  <c r="E29" i="6"/>
  <c r="D29" i="6"/>
  <c r="C29" i="6"/>
  <c r="G28" i="6"/>
  <c r="F28" i="6"/>
  <c r="E28" i="6"/>
  <c r="D28" i="6"/>
  <c r="C28" i="6"/>
  <c r="G27" i="6"/>
  <c r="F27" i="6"/>
  <c r="E27" i="6"/>
  <c r="D27" i="6"/>
  <c r="C27" i="6"/>
  <c r="G26" i="6"/>
  <c r="F26" i="6"/>
  <c r="E26" i="6"/>
  <c r="D26" i="6"/>
  <c r="C26" i="6"/>
  <c r="I23" i="1"/>
  <c r="H23" i="1"/>
  <c r="I22" i="1"/>
  <c r="H22" i="1"/>
  <c r="I21" i="1"/>
  <c r="H21" i="1"/>
  <c r="I20" i="1"/>
  <c r="H20" i="1"/>
  <c r="I19" i="1"/>
  <c r="H19" i="1"/>
  <c r="I18" i="1"/>
  <c r="H18" i="1"/>
  <c r="I17" i="1"/>
  <c r="H17" i="1"/>
  <c r="I16" i="1"/>
  <c r="H16" i="1"/>
  <c r="I15" i="1"/>
  <c r="H15" i="1"/>
  <c r="I14" i="1"/>
  <c r="H14" i="1"/>
  <c r="I13" i="1"/>
  <c r="H13" i="1"/>
  <c r="I12" i="1"/>
  <c r="H12" i="1"/>
  <c r="I11" i="1"/>
  <c r="H11" i="1"/>
  <c r="I10" i="1"/>
  <c r="H10" i="1"/>
  <c r="I9" i="1"/>
  <c r="H9" i="1"/>
  <c r="I8" i="1"/>
  <c r="H8" i="1"/>
  <c r="J19" i="1" l="1"/>
  <c r="M19" i="1" s="1"/>
  <c r="J9" i="1"/>
  <c r="M9" i="1" s="1"/>
  <c r="J17" i="1"/>
  <c r="M17" i="1" s="1"/>
  <c r="J11" i="1"/>
  <c r="M11" i="1" s="1"/>
  <c r="J16" i="1"/>
  <c r="M16" i="1" s="1"/>
  <c r="J8" i="1"/>
  <c r="M8" i="1" s="1"/>
  <c r="J10" i="1"/>
  <c r="M10" i="1" s="1"/>
  <c r="J21" i="1"/>
  <c r="M21" i="1" s="1"/>
  <c r="J13" i="1"/>
  <c r="M13" i="1" s="1"/>
  <c r="J18" i="1"/>
  <c r="M18" i="1" s="1"/>
  <c r="J20" i="1"/>
  <c r="M20" i="1" s="1"/>
  <c r="J12" i="1"/>
  <c r="M12" i="1" s="1"/>
  <c r="J23" i="1"/>
  <c r="M23" i="1" s="1"/>
</calcChain>
</file>

<file path=xl/sharedStrings.xml><?xml version="1.0" encoding="utf-8"?>
<sst xmlns="http://schemas.openxmlformats.org/spreadsheetml/2006/main" count="4215" uniqueCount="1892">
  <si>
    <t>Copyright © 2025 Foodics. All rights reserved.</t>
  </si>
  <si>
    <t>Anti Financial Crime - Risk Register</t>
  </si>
  <si>
    <t>Date:</t>
  </si>
  <si>
    <t>Version:</t>
  </si>
  <si>
    <t>Classification:</t>
  </si>
  <si>
    <t xml:space="preserve">Internal </t>
  </si>
  <si>
    <t>Status</t>
  </si>
  <si>
    <t>Final</t>
  </si>
  <si>
    <t>Document Information</t>
  </si>
  <si>
    <t>Document Title</t>
  </si>
  <si>
    <t>Foodics - Anti Financial Crime - Risk Register</t>
  </si>
  <si>
    <t>No. of Sheets</t>
  </si>
  <si>
    <t>Document Developer</t>
  </si>
  <si>
    <t>Name</t>
  </si>
  <si>
    <t>Sohaib Aijaz</t>
  </si>
  <si>
    <t>Title</t>
  </si>
  <si>
    <t>Risk Specialist</t>
  </si>
  <si>
    <t xml:space="preserve">Department </t>
  </si>
  <si>
    <t>Risk Management Department</t>
  </si>
  <si>
    <t>Document Approval</t>
  </si>
  <si>
    <t>Foodics
&lt;&lt;Insert Designation&gt;&gt;</t>
  </si>
  <si>
    <t>Date</t>
  </si>
  <si>
    <t>Foodics 
&lt;&lt;Insert Designation&gt;&gt;</t>
  </si>
  <si>
    <t>Document Version History</t>
  </si>
  <si>
    <t>Modification History</t>
  </si>
  <si>
    <t>Author</t>
  </si>
  <si>
    <t>Version</t>
  </si>
  <si>
    <t>Initial draft</t>
  </si>
  <si>
    <t>Document Monitoring History</t>
  </si>
  <si>
    <t>Review Frequency</t>
  </si>
  <si>
    <t>Annually</t>
  </si>
  <si>
    <t>Responsibility</t>
  </si>
  <si>
    <t>&lt;&lt;Insert department&gt;&gt;</t>
  </si>
  <si>
    <t>Last Reviewed</t>
  </si>
  <si>
    <t>Next Review</t>
  </si>
  <si>
    <t>Reviewer</t>
  </si>
  <si>
    <t>Sign Off</t>
  </si>
  <si>
    <t xml:space="preserve">Objective </t>
  </si>
  <si>
    <t>The objective of this document is to collate information on Foodics availability risks  that could affect the continuous operation of critical systems and services.</t>
  </si>
  <si>
    <t>Instructions</t>
  </si>
  <si>
    <t>Please keep a note of the below instructions while filling the sheet:</t>
  </si>
  <si>
    <t>Sheet 1: This contains version control information.</t>
  </si>
  <si>
    <t>Current Sheet (Sheet 2): This contains general information about the document.</t>
  </si>
  <si>
    <t>Sheet 3: Availability Risk Register (instructions are provided in column).</t>
  </si>
  <si>
    <t>Sheet 4: Risk Matrix.</t>
  </si>
  <si>
    <t>Availability Risks</t>
  </si>
  <si>
    <t>Risk ID</t>
  </si>
  <si>
    <t>Risk Category</t>
  </si>
  <si>
    <t>Risk Name</t>
  </si>
  <si>
    <t>Owner</t>
  </si>
  <si>
    <t>Risk Description</t>
  </si>
  <si>
    <t>Likelihood</t>
  </si>
  <si>
    <t xml:space="preserve">Risk Impact </t>
  </si>
  <si>
    <t>Score</t>
  </si>
  <si>
    <t>Inherent Risk</t>
  </si>
  <si>
    <t>Existing Controls</t>
  </si>
  <si>
    <t>Control Effectiveness</t>
  </si>
  <si>
    <t>Residual risk</t>
  </si>
  <si>
    <t>Recommended Treatment</t>
  </si>
  <si>
    <t xml:space="preserve">Action Plan </t>
  </si>
  <si>
    <t>Target completion date</t>
  </si>
  <si>
    <t>Risk after treatment</t>
  </si>
  <si>
    <t xml:space="preserve">Serial number </t>
  </si>
  <si>
    <t>Define the risk</t>
  </si>
  <si>
    <t>Foodics Department responsible for managing the risk</t>
  </si>
  <si>
    <t>A detailed explanation of the risk with the potential impact</t>
  </si>
  <si>
    <t>The possibility that the risk could occur</t>
  </si>
  <si>
    <t>The impact on the department if that risk occurs</t>
  </si>
  <si>
    <t>L and I</t>
  </si>
  <si>
    <t xml:space="preserve">The likelihood and impact of a risk occurrence </t>
  </si>
  <si>
    <t>Strength of the existing controls</t>
  </si>
  <si>
    <t>Residual risk after existing control</t>
  </si>
  <si>
    <t>The additional controls that are required to effectively mitigate risk</t>
  </si>
  <si>
    <t xml:space="preserve"> clear list of steps that explain how you will apply the recommended treatment to reduce the risk.</t>
  </si>
  <si>
    <t>Tentative date to complete the recommended treatment</t>
  </si>
  <si>
    <t>Control strength based on the existing controls and the additional identified controls</t>
  </si>
  <si>
    <t xml:space="preserve">Net risk that remain after considering control effectiveness and risk severity </t>
  </si>
  <si>
    <t xml:space="preserve">Your Task </t>
  </si>
  <si>
    <t>AFC-001</t>
  </si>
  <si>
    <t>People</t>
  </si>
  <si>
    <t xml:space="preserve"> Incorrect /fake documentation</t>
  </si>
  <si>
    <t>Risk of an individual at the time of onboarding might provide incorrect personal information with malicious intentions, lead to fraudulent transactions.</t>
  </si>
  <si>
    <t>Failure to investigate client per guidelines</t>
  </si>
  <si>
    <t>Likely</t>
  </si>
  <si>
    <t xml:space="preserve">Major </t>
  </si>
  <si>
    <t>Fair</t>
  </si>
  <si>
    <t xml:space="preserve">(check Operation team </t>
  </si>
  <si>
    <t>AFC-002</t>
  </si>
  <si>
    <t>Process</t>
  </si>
  <si>
    <t>Sanction Screening</t>
  </si>
  <si>
    <t>Inadequate sanctions screening for clients and transactions</t>
  </si>
  <si>
    <t>Suitability / disclosure issues (KYC, etc.)</t>
  </si>
  <si>
    <t>Critical</t>
  </si>
  <si>
    <t>Poor</t>
  </si>
  <si>
    <t xml:space="preserve">  - (Action plan to reduce the alerts on focal + time line + controls) Chatgpt</t>
  </si>
  <si>
    <t>AFC-003</t>
  </si>
  <si>
    <t>Negligence of Customer complaints</t>
  </si>
  <si>
    <t xml:space="preserve">Failure to respond to customer complaints about suspicious activity , leads to financial loss, </t>
  </si>
  <si>
    <t>Excellent</t>
  </si>
  <si>
    <t>(check Call center for the procedures the relates to fruad)</t>
  </si>
  <si>
    <t>AFC-004</t>
  </si>
  <si>
    <t>Not reporting suspicious transactions</t>
  </si>
  <si>
    <t>Failure to inform the competent authorities in case of suspicion of valid reasons for fraudulent behavior by customers, lead to financial loss, reputational impact and legal prosecution.</t>
  </si>
  <si>
    <t>Money laundering</t>
  </si>
  <si>
    <t>Moderate</t>
  </si>
  <si>
    <t xml:space="preserve">Reportt every suspocous transaction to SAFIU within 10 days </t>
  </si>
  <si>
    <t>AFC-005</t>
  </si>
  <si>
    <t>Dealing with Prohibited clients</t>
  </si>
  <si>
    <t>Risk of dealing with a customer that are registered in the sanction lists, lead to financial loss, reputational impact and legal prosecution.</t>
  </si>
  <si>
    <t>Almost certain</t>
  </si>
  <si>
    <t>(Check with Operation about procedures to deal with Prohibited clients)</t>
  </si>
  <si>
    <t>AFC-006</t>
  </si>
  <si>
    <t>POS terminal</t>
  </si>
  <si>
    <t>Risk of an individual performing suspicious transactions on their POS terminal, to lead to fraudulent transaction legal prosecution.</t>
  </si>
  <si>
    <t>Possible</t>
  </si>
  <si>
    <t>(Action plan to reduce the alerts on focal + time line + controls)</t>
  </si>
  <si>
    <t>AFC-007</t>
  </si>
  <si>
    <t>System</t>
  </si>
  <si>
    <t>Lack of E-KYC</t>
  </si>
  <si>
    <t>Risk of E-KYC, lead to operation insufficiency and fraudulent transaction</t>
  </si>
  <si>
    <t>High</t>
  </si>
  <si>
    <t xml:space="preserve">1- E-KYC implementation during the onboarding process using Elm and Wathiq Services
2- Customer information update incase of E-KYC is due for renewal </t>
  </si>
  <si>
    <t>(Ask operation team for the effectiveness of controls)  (effectiveness of the control is the evidence</t>
  </si>
  <si>
    <t>AFC-008</t>
  </si>
  <si>
    <t>Due Deligence</t>
  </si>
  <si>
    <t>Ineffective customer due diligence (CDD) and enhanced due diligence (EDD) processes.</t>
  </si>
  <si>
    <t>Unlikely</t>
  </si>
  <si>
    <t>AFC-009</t>
  </si>
  <si>
    <t xml:space="preserve">Risk of Onboarding </t>
  </si>
  <si>
    <t>Risk of Onboarding fictitious or anonymous customers</t>
  </si>
  <si>
    <t>AFC-010</t>
  </si>
  <si>
    <t>Policies and Procedures</t>
  </si>
  <si>
    <t>Risk of the absence of a reviewed, updated, and comprehensive Policies and Procedures Manual covering all departmental functions, potentially resulting in operational inefficiencies, role ambiguity, and misalignment of responsibilities</t>
  </si>
  <si>
    <t>Perform annual reviews of the AML framework, involving independent audits to assess effectiveness.</t>
  </si>
  <si>
    <t xml:space="preserve">Update the Policies for AML And fraud within 4 months </t>
  </si>
  <si>
    <t>AFC-011</t>
  </si>
  <si>
    <t>Annual Strategy</t>
  </si>
  <si>
    <t>Failure to develop a comprehensive strategy and roadmap for the department.</t>
  </si>
  <si>
    <t>(Activate compliance committee ask Khalid alzaini)</t>
  </si>
  <si>
    <t>AFC-012</t>
  </si>
  <si>
    <t>Human Resourcing</t>
  </si>
  <si>
    <t>Failure to accurately identify, budget, and communicate the department’s human resource requirements to the Human Resources function may result in misalignment between manpower planning and recruitment activities. This could lead to staffing shortages or surpluses, disrupting departmental operations and impacting service delivery</t>
  </si>
  <si>
    <t>Established a formal workforce planning process that involves collaboration between department heads and the HR function.</t>
  </si>
  <si>
    <t xml:space="preserve">(allocate Budget For AML and fraud ) -Khalid alzaini or Finance department </t>
  </si>
  <si>
    <t>AFC-013</t>
  </si>
  <si>
    <t>Training &amp; Sufficient Nnumbers</t>
  </si>
  <si>
    <t>Failure to identify and effectively communicate the training needs and requirements of department employees to the Human Resources function may result in inadequate skill development, reduced employee performance, and hindered overall departmental growth and effectiveness.</t>
  </si>
  <si>
    <t>Conduct mandatory AFC awareness training for all employees, including tailored programs for high-risk roles.</t>
  </si>
  <si>
    <t>(Share AFC training with HR and conduct training and awareness sessions)</t>
  </si>
  <si>
    <t>AFC-014</t>
  </si>
  <si>
    <t>AFC-015</t>
  </si>
  <si>
    <t>Transaction Monitoring</t>
  </si>
  <si>
    <t xml:space="preserve">Failure to identify and analyze patterns of behavior that may indicate money laundering or other financial crime occurring, leads to operation insufficiency, financial loss, fraudulent transactions, and reputational impact. </t>
  </si>
  <si>
    <t>(Action plan+ time line + controls)</t>
  </si>
  <si>
    <t>AFC-016</t>
  </si>
  <si>
    <t>Politically Exposed Person</t>
  </si>
  <si>
    <t>Failure to detect politically exposed persons (PEPs)</t>
  </si>
  <si>
    <t>Very High</t>
  </si>
  <si>
    <t>Risk Severity Matrix</t>
  </si>
  <si>
    <t>Impact</t>
  </si>
  <si>
    <t>Negligible</t>
  </si>
  <si>
    <t xml:space="preserve">Minor </t>
  </si>
  <si>
    <t>Low</t>
  </si>
  <si>
    <t>Medium</t>
  </si>
  <si>
    <t>Very Low</t>
  </si>
  <si>
    <t>Rare</t>
  </si>
  <si>
    <t>Residual Risk Matrix</t>
  </si>
  <si>
    <t>Effectiveness</t>
  </si>
  <si>
    <t>Risk Severity</t>
  </si>
  <si>
    <t>Good</t>
  </si>
  <si>
    <t>Unsatisfactory</t>
  </si>
  <si>
    <t>Risk Severity Scoring Matrix</t>
  </si>
  <si>
    <t>Level 1</t>
  </si>
  <si>
    <t>Level 2</t>
  </si>
  <si>
    <t>Level 3</t>
  </si>
  <si>
    <t>Transactions not reported (intentional)</t>
  </si>
  <si>
    <t>Internal fraud</t>
  </si>
  <si>
    <t>Unauthorised Activity</t>
  </si>
  <si>
    <t>Trans type unauthorised (w/monetary loss)</t>
  </si>
  <si>
    <t>Mismarking of position (intentional)</t>
  </si>
  <si>
    <t>Fraud / credit fraud / worthless deposits</t>
  </si>
  <si>
    <t>Theft and Fraud</t>
  </si>
  <si>
    <t>Theft / extortion / embezzlement / robbery</t>
  </si>
  <si>
    <t>Misappropriation of assets</t>
  </si>
  <si>
    <t>Malicious destruction of assets</t>
  </si>
  <si>
    <t>Forgery - IF</t>
  </si>
  <si>
    <t>Check kiting</t>
  </si>
  <si>
    <t>Smuggling</t>
  </si>
  <si>
    <t>Account take-over / impersonation / etc.</t>
  </si>
  <si>
    <t>Tax non-compliance / evasion (wilful)</t>
  </si>
  <si>
    <t>Bribes / kickbacks</t>
  </si>
  <si>
    <t>Insider trading (not on firm’s account)</t>
  </si>
  <si>
    <t>Theft/Robbery</t>
  </si>
  <si>
    <t>External fraud</t>
  </si>
  <si>
    <t>Forgery - EF</t>
  </si>
  <si>
    <t>Hacking damage</t>
  </si>
  <si>
    <t>Systems Security</t>
  </si>
  <si>
    <t>Theft of information (w/monetary loss)</t>
  </si>
  <si>
    <t>Compensation, benefit, termination issues</t>
  </si>
  <si>
    <t>Employment Practices and Workplace Safety</t>
  </si>
  <si>
    <t>Employee Relations</t>
  </si>
  <si>
    <t>Organised labour activity</t>
  </si>
  <si>
    <t>General liability (slip and fall, etc.)</t>
  </si>
  <si>
    <t>Safe Environment</t>
  </si>
  <si>
    <t>Employee health &amp; safety rules events</t>
  </si>
  <si>
    <t>Workers compensation</t>
  </si>
  <si>
    <t>All discrimination types</t>
  </si>
  <si>
    <t>Diversity &amp; Discrimination</t>
  </si>
  <si>
    <t>Fiduciary breaches / guideline violations</t>
  </si>
  <si>
    <t>Clients, Products &amp; Business
Practices</t>
  </si>
  <si>
    <t>Suitability, Disclosure &amp; Fiduciary</t>
  </si>
  <si>
    <t>Retail consumer disclosure violations</t>
  </si>
  <si>
    <t>Breach of privacy</t>
  </si>
  <si>
    <t>Aggressive sales</t>
  </si>
  <si>
    <t>Account churning</t>
  </si>
  <si>
    <t>Misuse of confidential information</t>
  </si>
  <si>
    <t>Lender Liability</t>
  </si>
  <si>
    <t>Antitrust</t>
  </si>
  <si>
    <t>Improper Business or Market Practices</t>
  </si>
  <si>
    <t>Improper trade / market practices</t>
  </si>
  <si>
    <t>Market manipulation</t>
  </si>
  <si>
    <t>Insider trading (on firm’s account)</t>
  </si>
  <si>
    <t>Unlicensed activity</t>
  </si>
  <si>
    <t>Product defects (unauthorised, etc.)</t>
  </si>
  <si>
    <t>Product Flaws</t>
  </si>
  <si>
    <t>Model errors</t>
  </si>
  <si>
    <t>Selection, Sponsorship &amp; Exposure</t>
  </si>
  <si>
    <t>Exceeding client exposure limits</t>
  </si>
  <si>
    <t>Disputes over performance of advisory activities</t>
  </si>
  <si>
    <t>Advisory Activities</t>
  </si>
  <si>
    <t>Natural disaster losses</t>
  </si>
  <si>
    <t>Damage to Physical Assets</t>
  </si>
  <si>
    <t>Disasters and other events</t>
  </si>
  <si>
    <t>Human losses from external sources (terrorism, vandalism)</t>
  </si>
  <si>
    <t>Hardware</t>
  </si>
  <si>
    <t>Business disruption and system failures</t>
  </si>
  <si>
    <t>Systems</t>
  </si>
  <si>
    <t>Software</t>
  </si>
  <si>
    <t>Telecommunications</t>
  </si>
  <si>
    <t>Utility outage / disruptions</t>
  </si>
  <si>
    <t>Miscommunication</t>
  </si>
  <si>
    <t>Execution, Delivery &amp; Process Management</t>
  </si>
  <si>
    <t>Transaction Capture, Execution &amp;</t>
  </si>
  <si>
    <t>Data entry, maintenance or loading error</t>
  </si>
  <si>
    <t>Missed deadline or responsibility</t>
  </si>
  <si>
    <t>Model / system misoperation</t>
  </si>
  <si>
    <t>Accounting error / entity attribution error</t>
  </si>
  <si>
    <t>Other task misperformance</t>
  </si>
  <si>
    <t>Delivery failure</t>
  </si>
  <si>
    <t>Collateral management failure</t>
  </si>
  <si>
    <t>Reference Data Maintenance</t>
  </si>
  <si>
    <t>Failed mandatory reporting obligation</t>
  </si>
  <si>
    <t>Monitoring and Reporting</t>
  </si>
  <si>
    <t>Inaccurate external report (loss incurred)</t>
  </si>
  <si>
    <t>Client permissions / disclaimers missing</t>
  </si>
  <si>
    <t>Customer Intake and Documentation</t>
  </si>
  <si>
    <t>Legal documents missing / incomple</t>
  </si>
  <si>
    <t>Unapproved access given to accounts</t>
  </si>
  <si>
    <t>Customer / Client Account Management</t>
  </si>
  <si>
    <t>Incorrect client records (loss incurred)</t>
  </si>
  <si>
    <t>Negligent loss or damage of client assets</t>
  </si>
  <si>
    <t>Non-client counterparty misperformance</t>
  </si>
  <si>
    <t>Trade Counterparties</t>
  </si>
  <si>
    <t>Misc. non-client counterparty disputes</t>
  </si>
  <si>
    <t>Outsourcing</t>
  </si>
  <si>
    <t>Vendors &amp; Suppliers</t>
  </si>
  <si>
    <t>Vendor disputes</t>
  </si>
  <si>
    <t>Enterprise - Risk Register</t>
  </si>
  <si>
    <t>PAY-001</t>
  </si>
  <si>
    <t>Ineffective Policy Governance</t>
  </si>
  <si>
    <t>Pay Operations</t>
  </si>
  <si>
    <t>Failure by the Board to review and approve key policies annually may result in outdated, non-compliant, or irrelevant operational directives</t>
  </si>
  <si>
    <t>Annual policy review and approval mandated for the Board.</t>
  </si>
  <si>
    <t>PAY-002</t>
  </si>
  <si>
    <t>Inadequate Resource Allocation</t>
  </si>
  <si>
    <t>Failure of the General Manager to provide adequate support and resources to the Operations Department may result in underperformance or operational bottlenecks.</t>
  </si>
  <si>
    <t>GM is assigned responsibility to provide necessary resources and ensure policy is reviewed and updated.</t>
  </si>
  <si>
    <t>PAY-003</t>
  </si>
  <si>
    <t>Incomplete or Incorrect Merchant Onboarding Data - Online Onboarding Request (PAY)</t>
  </si>
  <si>
    <t>If merchant-provided data (CR number, national ID, IBAN certificate, branch photo) is incomplete, mismatched, or incorrect, it may result in erroneous onboarding or non-compliance.</t>
  </si>
  <si>
    <t>Validation checks are performed by the Information Validator through MMS portal to ensure consistency between the submitted data (CR, ID, IBAN, CRM Opportunity). Requests with missing or inconsistent data are rejected, and merchants are notified via email/SMS.</t>
  </si>
  <si>
    <t>PAY-004</t>
  </si>
  <si>
    <t>Device Request Mismatch - Online Onboarding Request (PAY)</t>
  </si>
  <si>
    <t>Risk that requested device type or quantity does not match CRM Opportunity records</t>
  </si>
  <si>
    <t>Validation that device type and number match entries in the CRM Opportunity</t>
  </si>
  <si>
    <t>PAY-005</t>
  </si>
  <si>
    <t>Onboarding of Non-Legitimate Business - Online Onboarding Request (PAY)</t>
  </si>
  <si>
    <t>Risk of onboarding merchants without confirming legitimacy of their business</t>
  </si>
  <si>
    <t>Requirement of branch photo to prove legitimacy; automatic rejection and notification if validation fails</t>
  </si>
  <si>
    <t>PAY-006</t>
  </si>
  <si>
    <t>Unauthorized or Uncontrolled Agreement Execution - Online Onboarding Request (PAY)</t>
  </si>
  <si>
    <t>Risk of sending or executing Pay agreements without proper documentation or recordkeeping</t>
  </si>
  <si>
    <t>Pay agreement is sent to the merchant and securely saved in the Pay MMS merchant account</t>
  </si>
  <si>
    <t>PAY-007</t>
  </si>
  <si>
    <t>Delay or Failure in Completing Onboarding and Installation - Online Onboarding Request (PAY)</t>
  </si>
  <si>
    <t>Risk of delay in merchant onboarding due to incomplete validation or communication failure</t>
  </si>
  <si>
    <t>Email notifications to Pay Ops team upon onboarding request; auto-rejection of incomplete applications with email/SMS alerts to merchants</t>
  </si>
  <si>
    <t>PAY-008</t>
  </si>
  <si>
    <t xml:space="preserve">Incomplete Merchant Validation - Online Onboarding Request (Online) </t>
  </si>
  <si>
    <t>Onboarding may proceed without fully validating merchant documents (CR, National ID, IBAN, CRM details), leading to compliance or operational issues.</t>
  </si>
  <si>
    <t>Information validator checks CR name, National ID, IBAN certificate, CRM opportunity fields, and branch photo to validate request before approval.</t>
  </si>
  <si>
    <t>PAY-009</t>
  </si>
  <si>
    <t xml:space="preserve">Failure to Notify Rejection to Merchant - Online Onboarding Request (Online) </t>
  </si>
  <si>
    <t>Failure in notifying rejected merchants could result in customer dissatisfaction or miscommunication.</t>
  </si>
  <si>
    <t>Rejected merchants are notified automatically via email and SMS.</t>
  </si>
  <si>
    <t>PAY-010</t>
  </si>
  <si>
    <t xml:space="preserve">Unauthorized or Premature TID Generation - Online Onboarding Request (Online) </t>
  </si>
  <si>
    <t>Generating virtual TID before proper validation could allow unauthorized access to services.</t>
  </si>
  <si>
    <r>
      <t xml:space="preserve">TID creation is automated </t>
    </r>
    <r>
      <rPr>
        <b/>
        <sz val="10"/>
        <color theme="1"/>
        <rFont val="Arial"/>
        <family val="2"/>
      </rPr>
      <t>only after</t>
    </r>
    <r>
      <rPr>
        <sz val="10"/>
        <color theme="1"/>
        <rFont val="Arial"/>
        <family val="2"/>
      </rPr>
      <t xml:space="preserve"> request is approved post validation.</t>
    </r>
  </si>
  <si>
    <t>PAY-011</t>
  </si>
  <si>
    <t xml:space="preserve">Operational Delay in Pay Ops Notification - Online Onboarding Request (Online) </t>
  </si>
  <si>
    <t>Delay or failure in notifying Pay Ops about onboarding requests could cause process bottlenecks and SLA breaches.</t>
  </si>
  <si>
    <t>Pay Ops team is notified via email once the merchant request is pending, ensuring timely processing.</t>
  </si>
  <si>
    <t>PAY-012</t>
  </si>
  <si>
    <t xml:space="preserve">Improper Device Handling for E-commerce - Online Onboarding Request (Online) </t>
  </si>
  <si>
    <t>Assuming no physical device handling may result in confusion if mistakenly considered a POS merchant instead of e-commerce.</t>
  </si>
  <si>
    <t>E-commerce merchants are not required to register or install physical devices—clearly defined process.</t>
  </si>
  <si>
    <t>PAY-013</t>
  </si>
  <si>
    <t>Manual Onboarding Process Error - Manual Onboarding (PAY &amp; Online)</t>
  </si>
  <si>
    <t>Manual onboarding may lead to errors, omissions, or delays compared to automated onboarding due to lack of system-driven validation.</t>
  </si>
  <si>
    <t>Merchants are manually onboarded using Signit when technical issues prevent online onboarding.</t>
  </si>
  <si>
    <t>PAY-014</t>
  </si>
  <si>
    <t>Sanction Screening Failure - Manual Onboarding (PAY &amp; Online)</t>
  </si>
  <si>
    <t>Manually onboarded merchants may bypass key sanction screening steps, exposing the company to regulatory risks.</t>
  </si>
  <si>
    <t>Sanction screening is conducted via Wathq, Nafath, and Focal integrations for all manually onboarded merchants.</t>
  </si>
  <si>
    <t>PAY-015</t>
  </si>
  <si>
    <t>Premature Settlement Activation - Manual Onboarding (PAY &amp; Online)</t>
  </si>
  <si>
    <t>Settlement may be enabled before completing identity verification, leading to potential regulatory violations or fraud.</t>
  </si>
  <si>
    <t>Settlements are not enabled until the merchant completes Nafath verification.</t>
  </si>
  <si>
    <t>PAY-016</t>
  </si>
  <si>
    <t>Incomplete Nafath Verification - Manual Onboarding (PAY &amp; Online)</t>
  </si>
  <si>
    <t>Merchant may delay or fail to complete the Nafath verification, delaying onboarding or causing compliance issues.</t>
  </si>
  <si>
    <t>Nafath verification is initiated via a standalone link or Customer Portal popup prompting completion.</t>
  </si>
  <si>
    <t>PAY-017</t>
  </si>
  <si>
    <t>Freelancer Identity Misclassification - Manual Onboarding (PAY &amp; Online)</t>
  </si>
  <si>
    <t>Freelancer merchants may be treated as corporate merchants, leading to inappropriate CR validations and onboarding errors.</t>
  </si>
  <si>
    <t>Freelancer licenses are manually verified instead of CR validation.</t>
  </si>
  <si>
    <t>PAY-018</t>
  </si>
  <si>
    <t>External Event</t>
  </si>
  <si>
    <t>Insufficient Due Diligence for Charities - Manual Onboarding (PAY &amp; Online)</t>
  </si>
  <si>
    <t>Onboarding charitable trusts without full documentary verification may expose the company to reputational and compliance risks.</t>
  </si>
  <si>
    <t>Charitable merchants are required to submit additional documents including License, Foundation Regulation, and Ministerial Decree from MHRD.</t>
  </si>
  <si>
    <t>PAY-019</t>
  </si>
  <si>
    <t>Lack of System Controls During Exceptions - Manual Onboarding (PAY &amp; Online)</t>
  </si>
  <si>
    <t>Manual exception processes bypass system validations, increasing the likelihood of control lapses or fraud.</t>
  </si>
  <si>
    <r>
      <t xml:space="preserve">Manual process is used </t>
    </r>
    <r>
      <rPr>
        <b/>
        <sz val="10"/>
        <color theme="1"/>
        <rFont val="Arial"/>
        <family val="2"/>
      </rPr>
      <t>only exceptionally</t>
    </r>
    <r>
      <rPr>
        <sz val="10"/>
        <color theme="1"/>
        <rFont val="Arial"/>
        <family val="2"/>
      </rPr>
      <t xml:space="preserve"> when technical issues arise; onboarding is still tied to verification and documentation through Signit and other integrated systems.</t>
    </r>
  </si>
  <si>
    <t>PAY-020</t>
  </si>
  <si>
    <t>High-Risk Merchant Approval Without AFC Oversight</t>
  </si>
  <si>
    <t xml:space="preserve">Approving high-risk merchants without AFC approval can lead to AML/CFT breaches. </t>
  </si>
  <si>
    <t>AFC Officer approval is mandatory before proceeding.</t>
  </si>
  <si>
    <t>PAY-021</t>
  </si>
  <si>
    <t>Device Installation Errors</t>
  </si>
  <si>
    <t>Errors in device installation at merchant sites may lead to transaction failures or customer dissatisfaction.</t>
  </si>
  <si>
    <t>Job Order confirmation and ticket closure in ZUPER upon installation.</t>
  </si>
  <si>
    <t>PAY-022</t>
  </si>
  <si>
    <t>people</t>
  </si>
  <si>
    <t>Unauthorized Change Requests</t>
  </si>
  <si>
    <t>Customer change requests (e.g., bank change) processed without proper verification may result in fraud.</t>
  </si>
  <si>
    <t>Requests only processed through registered official emails , call centres and MMS with validation.</t>
  </si>
  <si>
    <t>PAY-023</t>
  </si>
  <si>
    <t>Delayed Settlement Notification</t>
  </si>
  <si>
    <t>Failure to notify merchants about settlements may cause confusion or disputes</t>
  </si>
  <si>
    <t>Automated email and SMS notifications to registered contacts</t>
  </si>
  <si>
    <t>PAY-024</t>
  </si>
  <si>
    <t>Settlement Delays Due to Bank Dependency</t>
  </si>
  <si>
    <t>Delays in receiving transaction data from banks cause delayed merchant settlements.</t>
  </si>
  <si>
    <t xml:space="preserve">Merchants perform POS reconciliation on a daily basis, as per the reconciliation 
guidelines stipulated by SAMA, to avoid having amounts pending in the system network. 
Once the data of the transactions and money is received by us from the bank we settle 
the merchants in the next settlement cycle. 
The Mada transactions are settled in T+1 days , whereas the CC transactions are settled 
in T+3 days. </t>
  </si>
  <si>
    <t>PAY-025</t>
  </si>
  <si>
    <t>Inaccurate Fee Disclosure</t>
  </si>
  <si>
    <t>Failure to disclose all charges and fees to clients within the SLA may lead to disputes.</t>
  </si>
  <si>
    <t xml:space="preserve">Mandatory disclosure of fees within 3 business days from client request. </t>
  </si>
  <si>
    <t>PAY-026</t>
  </si>
  <si>
    <t>Sysetm</t>
  </si>
  <si>
    <t>Terminal Fee Overcharging</t>
  </si>
  <si>
    <t>System may incorrectly apply terminal charges to merchants not meeting transaction threshold of 15K in a month</t>
  </si>
  <si>
    <t>Fees calculated and displayed in MMS and monthly statement.</t>
  </si>
  <si>
    <t>PAY-027</t>
  </si>
  <si>
    <t>Inactive Terminals Not Reported</t>
  </si>
  <si>
    <t>Failure to identify and act on inactive terminals may result in unproductive asset usage and billing issues.</t>
  </si>
  <si>
    <t>COE team collects data and follows up with clients after 3 months of inactivity.</t>
  </si>
  <si>
    <t>PAY-028</t>
  </si>
  <si>
    <t>Terminal Inventory Discrepancies</t>
  </si>
  <si>
    <t>Inaccurate inventory records could result in overbilling or asset mismanagement.</t>
  </si>
  <si>
    <t>Regular updates in TMS and vendor billing aligned with active terminals.</t>
  </si>
  <si>
    <t>PAY-029</t>
  </si>
  <si>
    <t>Unresolved Customer Complaints</t>
  </si>
  <si>
    <t>Delayed resolution of complaints may result in reputational loss and regulatory breaches.</t>
  </si>
  <si>
    <t>SLA-based handling by Pay Ops and product team.</t>
  </si>
  <si>
    <t>PAY-030</t>
  </si>
  <si>
    <t>Improper Contract Cancellation Handling</t>
  </si>
  <si>
    <t>Service cancellation without validation may result in legal or operational issues</t>
  </si>
  <si>
    <t>Cancellation requests must come via official email and be validated before pull-out.</t>
  </si>
  <si>
    <t>PAY-031</t>
  </si>
  <si>
    <t>Document Expiry Without Merchant Notification</t>
  </si>
  <si>
    <t>Failure to notify merchants about expired CR or IDs could disrupt settlements.</t>
  </si>
  <si>
    <t>1. If the merchant CR has expired: If the owner is Saudi National, we will notify him 60 days prior to expiry through different channels – Calling, messages, emails. If the merchant fails to respond within 90 days after expiry, we will block his settlements. 
2. If the merchant CR has expired: If the owner is Non-Saudi National, we will notify him 60 days prior to expiry through different channels – Calling, messages, emails. If the merchant fails to respond within 180 days after expiry, we will block his settlements. 
3. If the merchant National ID is expired: If the owner is Saudi National, we will notify him 60 days prior to expiry through different channels – Calling, messages, emails. If the merchant fails to respond within 60 days after expiry, we will block his settlements.
4.If the merchant National ID is expired: If the owner is Non-Saudi National, we will notify him 60 days prior to expiry through different channels – Call, SMS, emails. If the merchant fails to respond within 90 days after expiry, we will block his settlements.</t>
  </si>
  <si>
    <t>PAY-032</t>
  </si>
  <si>
    <t>Unauthorized Pay MMS Access</t>
  </si>
  <si>
    <t>Unauthorized access to Pay MMS may lead to data breaches or manipulation.</t>
  </si>
  <si>
    <t>Access only after Data, Cybersecurity, and Compliance approvals. Periodic audits.</t>
  </si>
  <si>
    <t>PAY-033</t>
  </si>
  <si>
    <t>Delayed Recovery from System Disruption</t>
  </si>
  <si>
    <t>Delays in resolving system issues can halt payment processing and settlement.</t>
  </si>
  <si>
    <t>Payment issues must be resolved and settled within 30 days.</t>
  </si>
  <si>
    <t>PAY-034</t>
  </si>
  <si>
    <t>Delayed Incident Reporting to Stakeholders</t>
  </si>
  <si>
    <t>Internal or external stakeholders not informed timely about system issues may escalate reputational risks.</t>
  </si>
  <si>
    <t>Incident reporting defined for internal (Compliance) and external (Merchants).</t>
  </si>
  <si>
    <t>PAY-035</t>
  </si>
  <si>
    <t>Unscheduled System Shutdowns</t>
  </si>
  <si>
    <t>Shutdowns outside scheduled windows can disrupt business continuity.</t>
  </si>
  <si>
    <t>Defined protocol for minor (updates) and major (calamity/cyber) shutdowns, max 6 hours downtime.</t>
  </si>
  <si>
    <t>PAY-036</t>
  </si>
  <si>
    <t>Reconciliation Failures</t>
  </si>
  <si>
    <t>Failure in reconciliation processes may result in unsettled transactions or accounting errors.</t>
  </si>
  <si>
    <t>Forced reconciliation performed biweekly or monthly to close out discrepancies.</t>
  </si>
  <si>
    <t>PAY-037</t>
  </si>
  <si>
    <t>Overlooked Grace Period Notifications</t>
  </si>
  <si>
    <t>Failure to inform merchants of contract changes or terminations within the grace period may result in contractual disputes</t>
  </si>
  <si>
    <t>30-day advance notification for contract changes or terminations</t>
  </si>
  <si>
    <t>PAY-038</t>
  </si>
  <si>
    <t>Misuse of Safeguarded Bank Accounts</t>
  </si>
  <si>
    <t>Use of safeguarding accounts for operational expenses may breach regulatory rules.</t>
  </si>
  <si>
    <t>Funds in these accounts used solely for settlement, no operational payments allowed.</t>
  </si>
  <si>
    <t>PAY-039</t>
  </si>
  <si>
    <t>Improper Investment of Safeguarded Funds</t>
  </si>
  <si>
    <t>Investment of safeguarded funds in non-approved instruments may violate SAMA guidelines</t>
  </si>
  <si>
    <t>Only SAMA-approved secure and liquid assets may be used</t>
  </si>
  <si>
    <t>PAY-040</t>
  </si>
  <si>
    <t>Failure to Capture All Customer Touchpoints</t>
  </si>
  <si>
    <t>Missing communication from customers (via WhatsApp, hotline, SMS) may result in missed complaints or change requests.</t>
  </si>
  <si>
    <t>Centralized support channel capturing all merchant communications and routing accordingly.</t>
  </si>
  <si>
    <t>PAY-041</t>
  </si>
  <si>
    <t>Inadequate Recordkeeping</t>
  </si>
  <si>
    <t>Incomplete or improperly maintained records could result in audit issues and regulatory penalties.</t>
  </si>
  <si>
    <t xml:space="preserve">Records retained for 10 years; annual reviews by IT to ensure retention </t>
  </si>
  <si>
    <t>PAY-042</t>
  </si>
  <si>
    <t>Delayed or Missing Regulatory Reporting</t>
  </si>
  <si>
    <t>Failure to submit reports to SAMA or internal stakeholders on time may result in non-compliance.</t>
  </si>
  <si>
    <t>Defined reporting frequencies for monthly and quarterly reports with segregation of duties.</t>
  </si>
  <si>
    <t>PAY-043</t>
  </si>
  <si>
    <t>Terminal Assignment Error</t>
  </si>
  <si>
    <t>Incorrect TID assignment could result in transaction processing failures.</t>
  </si>
  <si>
    <t>Manual TID assignment by Pay Ops team if inventory is unavailable</t>
  </si>
  <si>
    <t>PAY-044</t>
  </si>
  <si>
    <t>Unauthorized Fees Charged</t>
  </si>
  <si>
    <t>Incorrect or unauthorized fee application may lead to customer disputes.</t>
  </si>
  <si>
    <t>Fees approval matrix is followed and approvals are taken from Head of Pay, COO, CFO.</t>
  </si>
  <si>
    <t>PAY-045</t>
  </si>
  <si>
    <t xml:space="preserve">Delays in Customer Installation </t>
  </si>
  <si>
    <t>Delay in hardware installation could impact customer satisfaction and revenue realization.</t>
  </si>
  <si>
    <t>SLA defined for installation activities (24-48 hours post-quotation sign-off).</t>
  </si>
  <si>
    <t>PAY-046</t>
  </si>
  <si>
    <t xml:space="preserve">people </t>
  </si>
  <si>
    <t xml:space="preserve">Miscommunication with Vendor for Installation </t>
  </si>
  <si>
    <t>Inaccurate communication with vendors could delay terminal delivery.</t>
  </si>
  <si>
    <t>Vendor communication formalized through CRM updates and ticketing system.</t>
  </si>
  <si>
    <t>PAY-047</t>
  </si>
  <si>
    <t>Processing Unverified Merchants</t>
  </si>
  <si>
    <t>Approval of unverified merchants can lead to regulatory breaches</t>
  </si>
  <si>
    <t>EKYC mandatory checks including ID, CR validation before approval</t>
  </si>
  <si>
    <t>PAY-048</t>
  </si>
  <si>
    <t>Incomplete Customer Settlement</t>
  </si>
  <si>
    <t>Settlement failures due to incorrect customer banking details</t>
  </si>
  <si>
    <t xml:space="preserve">Validation of IBAN against CR before settlement. </t>
  </si>
  <si>
    <t>PAY-049</t>
  </si>
  <si>
    <t>System Failure During Settlement</t>
  </si>
  <si>
    <t>System glitches during settlement processes may delay fund transfers.</t>
  </si>
  <si>
    <t>Daily API calls to banks and backup mechanisms</t>
  </si>
  <si>
    <t>PAY-050</t>
  </si>
  <si>
    <t>Inactive Terminal Mismanagement</t>
  </si>
  <si>
    <t>Failure to manage inactive terminals could lead to inventory misreporting.</t>
  </si>
  <si>
    <t>Monthly inactive terminal report generated and actioned by COE.</t>
  </si>
  <si>
    <t>PAY-051</t>
  </si>
  <si>
    <t>Incorrect Stock Update for Terminals</t>
  </si>
  <si>
    <t>Manual updates may cause inventory errors</t>
  </si>
  <si>
    <t>Vendor report reconciliation and manual validation until system API is implemented.</t>
  </si>
  <si>
    <t>PAY-052</t>
  </si>
  <si>
    <t>Delayed Pull-Out of Terminals</t>
  </si>
  <si>
    <t>Delays in terminal pullout after service cancellation requests</t>
  </si>
  <si>
    <t>Daily pullout reports and tracking with vendors</t>
  </si>
  <si>
    <t>PAY-053</t>
  </si>
  <si>
    <t>Unauthorized Customer Profile Changes</t>
  </si>
  <si>
    <t>Unauthorized or inaccurate changes in customer profiles.</t>
  </si>
  <si>
    <t>Maker-Checker principle in Pay Ops for internal requests.</t>
  </si>
  <si>
    <t>PAY-054</t>
  </si>
  <si>
    <t>Failure to Deactivate Ex-Employee Access</t>
  </si>
  <si>
    <t>Ex-employees may retain system access posing data security risks</t>
  </si>
  <si>
    <t>HR notifies Pay Ops to deactivate MMS accounts</t>
  </si>
  <si>
    <t>PAY-055</t>
  </si>
  <si>
    <t>Customer Complaints Not Resolved on Time</t>
  </si>
  <si>
    <t xml:space="preserve">Delay in resolving complaints may lead to regulatory breaches. </t>
  </si>
  <si>
    <t>SLA for complaint resolution defined (Service: 3–5 days; Financial: 14 days).</t>
  </si>
  <si>
    <t>PAY-056</t>
  </si>
  <si>
    <t>Loss of Customer Communication History</t>
  </si>
  <si>
    <t>Failure to record complaint history properly.</t>
  </si>
  <si>
    <t>Ticketing system records all communications</t>
  </si>
  <si>
    <t>PAY-057</t>
  </si>
  <si>
    <t>Customer Onboarding Link Failure</t>
  </si>
  <si>
    <t>System failures while generating onboarding links delay onboarding</t>
  </si>
  <si>
    <t>We have a dedicated Onboarding Link</t>
  </si>
  <si>
    <t>PAY-058</t>
  </si>
  <si>
    <t>Wrong Fee Deduction on Monthly GMV</t>
  </si>
  <si>
    <t>Errors in terminal fee calculations based on monthly GMV</t>
  </si>
  <si>
    <t>Engineering team automates fee calculation and review</t>
  </si>
  <si>
    <t>PAY-059</t>
  </si>
  <si>
    <t xml:space="preserve">Incorrect Merchant TMS Registration </t>
  </si>
  <si>
    <t>Incorrect or incomplete registration on TMS</t>
  </si>
  <si>
    <t>Pay Ops responsible for TMS updates</t>
  </si>
  <si>
    <t>PAY-060</t>
  </si>
  <si>
    <t>System Reconciliation Errors</t>
  </si>
  <si>
    <t>Errors during reconciliation can delay merchant settlement</t>
  </si>
  <si>
    <t>Reconciliation daily checks</t>
  </si>
  <si>
    <t>PAY-061</t>
  </si>
  <si>
    <t>Sanction Screening Failures</t>
  </si>
  <si>
    <t>Missing sanction checks may expose the company to regulatory action</t>
  </si>
  <si>
    <t>Mandatory sanction screening during onboarding</t>
  </si>
  <si>
    <t>PAY-062</t>
  </si>
  <si>
    <t>Unauthorized Transaction Processing</t>
  </si>
  <si>
    <t>Fraudulent transactions processed due to poor authentication</t>
  </si>
  <si>
    <t>EKYC validations and OTP authentication</t>
  </si>
  <si>
    <t>PAY-063</t>
  </si>
  <si>
    <t>Loss of Data During API Failures</t>
  </si>
  <si>
    <t>API integration failures can lead to transaction or data loss</t>
  </si>
  <si>
    <t>API system alerts and manual reconciliation backups</t>
  </si>
  <si>
    <t>PAY-064</t>
  </si>
  <si>
    <t>Merchant Unawareness of Transaction Charges</t>
  </si>
  <si>
    <t>Merchants may not be aware of transaction charges, causing disputes.</t>
  </si>
  <si>
    <t>Transaction fee details communicated via Merchant App</t>
  </si>
  <si>
    <t>PAY-065</t>
  </si>
  <si>
    <t>Unauthorized System Access</t>
  </si>
  <si>
    <t>Inadequate system access controls could allow unauthorized access.</t>
  </si>
  <si>
    <t>Approval workflow involving Risk and Compliance before access granting</t>
  </si>
  <si>
    <t>PAY-066</t>
  </si>
  <si>
    <t xml:space="preserve">Poor Quality Installation </t>
  </si>
  <si>
    <t>Faulty or incomplete terminal installations can affect merchant experience</t>
  </si>
  <si>
    <t>PS technician checklist during installation (device serial, SIM, TID, OTP).</t>
  </si>
  <si>
    <t>PAY-067</t>
  </si>
  <si>
    <t>Delays in Merchant Settlement Due to Fund Segregation</t>
  </si>
  <si>
    <t>Delay in segregating funds could cause payment delays</t>
  </si>
  <si>
    <t>Daily scheduled fund segregation by automated service</t>
  </si>
  <si>
    <t>PAY-068</t>
  </si>
  <si>
    <t>Missed Fraudulent Complaint Investigation</t>
  </si>
  <si>
    <t>Failure to properly investigate financial complaints could result in regulatory penalties.</t>
  </si>
  <si>
    <t>Specialized complaint handling function for financial frauds.</t>
  </si>
  <si>
    <t>PAY-069</t>
  </si>
  <si>
    <t>Terminal Write-off Without Proper Validation</t>
  </si>
  <si>
    <t>Terminals may be written off without proper validation, causing financial loss</t>
  </si>
  <si>
    <t>Finance department approval mandatory for terminal write-off.</t>
  </si>
  <si>
    <t>PAY-070</t>
  </si>
  <si>
    <t>CRM Stage Delay During Installation</t>
  </si>
  <si>
    <t>Delays in updating CRM stages can affect installation scheduling.</t>
  </si>
  <si>
    <t>CRM task stage SLAs enforced (24 hrs–48 hrs).</t>
  </si>
  <si>
    <t>PAY-071</t>
  </si>
  <si>
    <t>Incomplete Registration of Online Merchants</t>
  </si>
  <si>
    <t>Errors during online merchant registration may lead to compliance gaps.</t>
  </si>
  <si>
    <t>Online onboarding link validation by Pay Ops and vendor notification.</t>
  </si>
  <si>
    <t>PAY-072</t>
  </si>
  <si>
    <t>Unauthorized Customer Change Request</t>
  </si>
  <si>
    <t>Unauthorized or fraudulent internal or external customer change requests (e.g., bank account or merchant details) may result in data integrity issues or financial losses.</t>
  </si>
  <si>
    <t>Dual-level validation for internal requests (Maker-Checker) and external changes updated via vendor and bank systems with ticketing.</t>
  </si>
  <si>
    <t>PAY-073</t>
  </si>
  <si>
    <t>Terminal Fee Misapplication</t>
  </si>
  <si>
    <t>Errors in system-calculated terminal fees based on GMV can result in incorrect customer billing and disputes.</t>
  </si>
  <si>
    <t>Monthly system-generated fee calculation validated against defined and approved fees; uncollected fees trigger "Inactive Terminal Process".</t>
  </si>
  <si>
    <t>PAY-074</t>
  </si>
  <si>
    <t>Incomplete eCommerce Onboarding</t>
  </si>
  <si>
    <t>Inadequate support or incorrect onboarding information during online merchant registration may result in onboarding delays or regulatory non-compliance.</t>
  </si>
  <si>
    <t>EKYC validation via integrated systems (Elm, Watheq, AML), CRM onboarding checks, and task reassignment for missing information</t>
  </si>
  <si>
    <t>PAY-075</t>
  </si>
  <si>
    <t>Contract Termination Compliance Risk</t>
  </si>
  <si>
    <t>Risk that Foodics Pay fails to adhere to SAMA-mandated notice periods and disclosure requirements when terminating customer contracts, potentially resulting in regulatory non-compliance or legal disputes.</t>
  </si>
  <si>
    <t>Foodics ensures customers receive a 30-day advance notice for any contract changes and upholds transparent fee disclosure in accordance with SAMA rules.</t>
  </si>
  <si>
    <t>PAY-076</t>
  </si>
  <si>
    <t>Inventory Reconciliation and Terminal Status Error</t>
  </si>
  <si>
    <t>Manual updates in terminal inventory due to absence of automated integration may lead to inaccurate device status (e.g., “installed,” “free,” “pulled out”), resulting in delays, double allocation, or revenue loss</t>
  </si>
  <si>
    <t>Manual update process using vendor reports; only terminals with new TIDs not registered in MMS are used until the automated inventory system is implemented.</t>
  </si>
  <si>
    <t>ACTION OWNER</t>
  </si>
  <si>
    <t>RA-001</t>
  </si>
  <si>
    <t>Insufficient authority of the compliance department</t>
  </si>
  <si>
    <t>Regulatory Affairs</t>
  </si>
  <si>
    <t>If compliance does not have adequate authority, it may not effectively enforce compliance requirements, leading to violations.</t>
  </si>
  <si>
    <t>RA-002</t>
  </si>
  <si>
    <t>Lack of formal compliance monitoring</t>
  </si>
  <si>
    <t>Without structured monitoring, compliance violations may go undetected, increasing regulatory penalties.</t>
  </si>
  <si>
    <t>RA-003</t>
  </si>
  <si>
    <t>Non-compliance with regulatory updates.</t>
  </si>
  <si>
    <t>Failure to implement new regulatory updates can result in non-compliance penalties from SAMA.</t>
  </si>
  <si>
    <t>RA-004</t>
  </si>
  <si>
    <t>Senior management neglecting compliance oversight.</t>
  </si>
  <si>
    <t>If senior management does not prioritize compliance, regulatory breaches may occur.</t>
  </si>
  <si>
    <t>RA-005</t>
  </si>
  <si>
    <t>Inadequate compliance staffing</t>
  </si>
  <si>
    <t>Without sufficient personnel, compliance monitoring may be ineffective, leading to undetected violations.</t>
  </si>
  <si>
    <t>RA-006</t>
  </si>
  <si>
    <t>Unidentified compliance risks</t>
  </si>
  <si>
    <t>If compliance risks are not identified, the company may face unexpected regulatory issues and penalties.</t>
  </si>
  <si>
    <t>RA-007</t>
  </si>
  <si>
    <t>Weak controls to mitigate compliance risks</t>
  </si>
  <si>
    <t>Ineffective controls may allow regulatory violations, increasing legal liabilities.</t>
  </si>
  <si>
    <t>RA-008</t>
  </si>
  <si>
    <t>Inadequate response to compliance breaches</t>
  </si>
  <si>
    <t>Delayed or weak responses to compliance violations can result in severe financial and reputational damage.</t>
  </si>
  <si>
    <t>RA-009</t>
  </si>
  <si>
    <t>Delayed reporting of compliance breaches</t>
  </si>
  <si>
    <t>If compliance violations are not reported immediately, regulatory penalties may increase.</t>
  </si>
  <si>
    <t>RA-010</t>
  </si>
  <si>
    <t>Lack of structured compliance reporting</t>
  </si>
  <si>
    <t>Without structured reporting, management may not have visibility into compliance risks.</t>
  </si>
  <si>
    <t>RA-011</t>
  </si>
  <si>
    <t>Failure to report compliance issues to regulators.</t>
  </si>
  <si>
    <t>Non-reporting of compliance failures can result in regulatory sanctions and license suspension.</t>
  </si>
  <si>
    <t>RA-012</t>
  </si>
  <si>
    <t>Non-compliance with regulatory reporting deadlines</t>
  </si>
  <si>
    <t>Failure to submit reports on time may result in regulatory fines.</t>
  </si>
  <si>
    <t>RA-013</t>
  </si>
  <si>
    <t xml:space="preserve"> Lack of transparency in compliance monitoring</t>
  </si>
  <si>
    <t>If compliance issues are not transparent, risks may not be addressed in time.</t>
  </si>
  <si>
    <t>RA-014</t>
  </si>
  <si>
    <t>Incomplete regulatory documentation.</t>
  </si>
  <si>
    <t>Missing documentation may lead to audit findings and regulatory non-compliance.</t>
  </si>
  <si>
    <t>RA-015</t>
  </si>
  <si>
    <t>Employees unaware of compliance obligations.</t>
  </si>
  <si>
    <t>Untrained employees may unknowingly commit compliance breaches, leading to regulatory penalties.</t>
  </si>
  <si>
    <t>RA-016</t>
  </si>
  <si>
    <t>Misleading advertising.</t>
  </si>
  <si>
    <t>False advertising can result in consumer protection violations and penalties.</t>
  </si>
  <si>
    <t>RA-017</t>
  </si>
  <si>
    <t>Delays in handling customer complaints.</t>
  </si>
  <si>
    <t>Failure to address customer complaints promptly can result in reputational damage and regulatory scrutiny.</t>
  </si>
  <si>
    <t>RA-018</t>
  </si>
  <si>
    <t>Lack of tracking for customer complaints.</t>
  </si>
  <si>
    <t>Without a proper complaint tracking system, issues may go unresolved, increasing</t>
  </si>
  <si>
    <t>RA-019</t>
  </si>
  <si>
    <t>Poor response to regulatory complaints.</t>
  </si>
  <si>
    <t>If regulatory complaints are not handled properly, the company may face fines and reputational damage.</t>
  </si>
  <si>
    <t>RA-020</t>
  </si>
  <si>
    <t>Weak business continuity planning.</t>
  </si>
  <si>
    <t>Inadequate business continuity measures can disrupt operations and lead to regulatory non-compliance.</t>
  </si>
  <si>
    <t>RA-021</t>
  </si>
  <si>
    <t>Inadequate cybersecurity compliance.</t>
  </si>
  <si>
    <t>Non-compliance with cybersecurity regulations may result in data breaches, financial losses, and regulatory penalties.</t>
  </si>
  <si>
    <t>RA-022</t>
  </si>
  <si>
    <t>Non-compliance in outsourced activities.</t>
  </si>
  <si>
    <t>Failure to ensure that outsourced service providers comply with regulations can result in third-party compliance failures.</t>
  </si>
  <si>
    <t>RA-023</t>
  </si>
  <si>
    <t>Failure to renew license on time.</t>
  </si>
  <si>
    <t>If the company does not renew its regulatory license on time, it may lose its operating rights</t>
  </si>
  <si>
    <t>RA-024</t>
  </si>
  <si>
    <t>Unauthorized changes to business structure.</t>
  </si>
  <si>
    <t>Making structural changes without regulatory approval can lead to legal penalties.</t>
  </si>
  <si>
    <t>RA-025</t>
  </si>
  <si>
    <t>Failure to notify SAMA of major incidents.</t>
  </si>
  <si>
    <t>Not informing SAMA about key compliance violations can lead to increased regulatory scrutiny.</t>
  </si>
  <si>
    <t>RA-026</t>
  </si>
  <si>
    <t>Inadequate documentation for regulatory reviews.</t>
  </si>
  <si>
    <t>Lack of proper documentation may hinder regulatory inspections and lead to penalties.</t>
  </si>
  <si>
    <t>RA-027</t>
  </si>
  <si>
    <t>Weak whistleblowing controls.</t>
  </si>
  <si>
    <t>If employees do not feel safe reporting compliance violations, critical risks may remain undisclosed.</t>
  </si>
  <si>
    <t>RA-028</t>
  </si>
  <si>
    <t>Onboarding unqualified individuals</t>
  </si>
  <si>
    <t>Onboarding unqualified individuals or failure to notify SAMA of leadership changes.</t>
  </si>
  <si>
    <t>RA-029</t>
  </si>
  <si>
    <t>Circulars tracking</t>
  </si>
  <si>
    <t xml:space="preserve">Failure to track and implement SAMA circulars, </t>
  </si>
  <si>
    <t>Compliance function has unrestricted access to all company information, records, personnel, and operations</t>
  </si>
  <si>
    <t>Compliance function follows an Annual Compliance Plan approved by the Board</t>
  </si>
  <si>
    <t>Compliance function is provided with adequate human and technical resources</t>
  </si>
  <si>
    <t>Compliance risk assessment is conducted periodically</t>
  </si>
  <si>
    <t>Risk mitigation plans developed for high-risk areas.</t>
  </si>
  <si>
    <t>Corrective Action Plan implemented for compliance violations.</t>
  </si>
  <si>
    <t>Compliance reports submitted periodically (monthly, quarterly, annual)</t>
  </si>
  <si>
    <t>Annual Compliance Report submitted to SAMA</t>
  </si>
  <si>
    <t>Compliance function tracks regulatory reporting deadlines</t>
  </si>
  <si>
    <t>Reports include compliance failures, corrective actions, and follow-ups.</t>
  </si>
  <si>
    <t>Compliance maintains a repository of all regulatory circulars and guidelines</t>
  </si>
  <si>
    <t xml:space="preserve">Annual compliance training programs for all employees. </t>
  </si>
  <si>
    <t>Compliance reviews all marketing materials before publication.</t>
  </si>
  <si>
    <t>A central database for complaint tracking maintained.</t>
  </si>
  <si>
    <t>SAMA must be provided with a summary of complaints annually.</t>
  </si>
  <si>
    <t>Compliance oversees business continuity plan implementation.</t>
  </si>
  <si>
    <t>Compliance monitors adherence to cybersecurity policies.</t>
  </si>
  <si>
    <t>Compliance reviews outsourcing agreements for regulatory compliance.
Apply for and receive a non-objection letter from SAMA prior to undertaking any material outsourcing, as defined in the Outsourcing Rules.</t>
  </si>
  <si>
    <t>Compliance tracks license renewal dates.</t>
  </si>
  <si>
    <t>SAMA approval required for changes in company structure.</t>
  </si>
  <si>
    <t>SAMA must be informed within 10 days of major compliance breaches.</t>
  </si>
  <si>
    <t>Compliance ensures all records are readily available for inspection.</t>
  </si>
  <si>
    <t>Confidential whistleblowing mechanisms in place.</t>
  </si>
  <si>
    <t>Pre-employment Fit and Proper checks for BoD and senior management coordinated by Compliance and People &amp; Culture.
Background checks include criminal records, employment history, regulatory actions.
Documentation evidencing compliance with Fit and Proper requirements is submitted to SAMA.
SAMA must be notified of any changes in BoD or control function members.</t>
  </si>
  <si>
    <t>SAMA circulars and correspondences are tracked and assigned with responsible owners by Compliance Function.
Action required, completion date, and confirmation recorded for each.
Compliance monitors overdue target dates and follows up.
Immediate escalation of breaches or deficiencies to Risk Committee and Senior Management.</t>
  </si>
  <si>
    <t>Implement quarterly compliance audits/checklists across key functions with documented findings and follow-ups.</t>
  </si>
  <si>
    <t>Conduct a full Compliance Risk Assessment (CRA) with all departments; update the risk register accordingly.</t>
  </si>
  <si>
    <t>Review and document all existing controls; introduce preventive, detective, and corrective measures for high-risk areas.</t>
  </si>
  <si>
    <t>Develop and train staff on a Breach Response SOP, including escalation timelines and responsible parties.</t>
  </si>
  <si>
    <t>Define “notifiable events” in SOP; track and log all reports sent to SAMA.</t>
  </si>
  <si>
    <t>Share summary monitoring results with relevant departments and Risk; assign corrective actions.</t>
  </si>
  <si>
    <t>Assign ownership for regulatory complaint handling; maintain a response template library.</t>
  </si>
  <si>
    <t>Include major incident notification in Incident Management SOP; ensure escalation protocol is in place.</t>
  </si>
  <si>
    <t>MAR-001</t>
  </si>
  <si>
    <t>Misleading Advertising Content</t>
  </si>
  <si>
    <t>Marketing</t>
  </si>
  <si>
    <t>Advertising materials may contain false, misleading, exaggerated, or unclear claims.</t>
  </si>
  <si>
    <t>MAR-002</t>
  </si>
  <si>
    <t>Unauthorized Disclosure of Confidential Information</t>
  </si>
  <si>
    <t>Confidential or strategic business information (e.g. expansion, IPO plans) may be unintentionally disclosed.</t>
  </si>
  <si>
    <t>MAR-003</t>
  </si>
  <si>
    <t>Regulatory Non-Compliance</t>
  </si>
  <si>
    <t>Marketing practices may fail to comply with SAMA regulations or internal standards.</t>
  </si>
  <si>
    <t>MAR-004</t>
  </si>
  <si>
    <t>Use of Unapproved Channels or Vendors</t>
  </si>
  <si>
    <t>Marketing may use communication channels or third parties not officially approved.</t>
  </si>
  <si>
    <t>MAR-005</t>
  </si>
  <si>
    <t>Misleading Promotional Offers</t>
  </si>
  <si>
    <t>Promotions may lack clear terms, eligibility, or duration, leading to misunderstandings.</t>
  </si>
  <si>
    <t>MAR-006</t>
  </si>
  <si>
    <t>Breach of Customer Data Privacy</t>
  </si>
  <si>
    <t>Marketing might use customer data for advertising without proper consent.</t>
  </si>
  <si>
    <t>MAR-007</t>
  </si>
  <si>
    <t>Language Non-Compliance</t>
  </si>
  <si>
    <t>Marketing materials might be published in the wrong language, confusing customers or breaching regulations.</t>
  </si>
  <si>
    <t>MAR-008</t>
  </si>
  <si>
    <t>Delays in Campaign Approvals</t>
  </si>
  <si>
    <t>Slow review processes can delay marketing campaigns, affecting timely execution.</t>
  </si>
  <si>
    <t>MAR-009</t>
  </si>
  <si>
    <t>Inadequate Crisis Response</t>
  </si>
  <si>
    <t>Marketing may mishandle crises or public backlash, harming brand reputation.</t>
  </si>
  <si>
    <t>MAR-010</t>
  </si>
  <si>
    <t>Intellectual Property Infringement</t>
  </si>
  <si>
    <t>Unauthorized use of logos, trademarks, or other intellectual property may occur in marketing content.</t>
  </si>
  <si>
    <t>MAR-011</t>
  </si>
  <si>
    <t>Inappropriate Targeting of Minors</t>
  </si>
  <si>
    <t>Financial products may be advertised to individuals under 18, breaching regulations.</t>
  </si>
  <si>
    <t>MAR-012</t>
  </si>
  <si>
    <t>Omission of Foreign Currency Disclaimers</t>
  </si>
  <si>
    <t>Ads mentioning prices in foreign currencies might lack required disclaimers.</t>
  </si>
  <si>
    <t>MAR-013</t>
  </si>
  <si>
    <t>Outdated Marketing Policies or SOPs</t>
  </si>
  <si>
    <t>Marketing SOPs and policies may not reflect latest regulatory requirements.</t>
  </si>
  <si>
    <t>MAR-014</t>
  </si>
  <si>
    <t>Lack of Documented Approvals</t>
  </si>
  <si>
    <t>Missing records for marketing materials approvals could expose gaps during audits.</t>
  </si>
  <si>
    <t>MAR-015</t>
  </si>
  <si>
    <t>Inconsistent Messaging Across Channels</t>
  </si>
  <si>
    <t>Different teams may produce conflicting messages, diluting brand consistency.</t>
  </si>
  <si>
    <t>MAR-016</t>
  </si>
  <si>
    <t>Lack of Visibility for Major Corporate Achievements</t>
  </si>
  <si>
    <t>Missing high-level announcements may reduce industry recognition.</t>
  </si>
  <si>
    <t>MAR-017</t>
  </si>
  <si>
    <t>Failure to Establish Thought Leadership</t>
  </si>
  <si>
    <t>Not sharing insights from executives weakens brand authority.</t>
  </si>
  <si>
    <t>MAR-018</t>
  </si>
  <si>
    <t>Neglecting CSR Communication</t>
  </si>
  <si>
    <t>Not promoting CSR efforts undermines public goodwill.</t>
  </si>
  <si>
    <t>MAR-019</t>
  </si>
  <si>
    <t>SYSTEM</t>
  </si>
  <si>
    <t>Sharing Unverified Information</t>
  </si>
  <si>
    <t>Could harm Foodics’ credibility and trust.</t>
  </si>
  <si>
    <t>MAR-020</t>
  </si>
  <si>
    <t>Violation of NDA Terms</t>
  </si>
  <si>
    <t>Breaches in non-disclosure agreements due to improper public communication.</t>
  </si>
  <si>
    <t>MAR-021</t>
  </si>
  <si>
    <t>Leakage of Confidential Strategic Information</t>
  </si>
  <si>
    <t> Un authorised disclosure—intentional or accidental—of strategic plans, expansion plans, or other “Confidential Information” that has not been publicly released.</t>
  </si>
  <si>
    <t>MAR-022</t>
  </si>
  <si>
    <t>Approval Bottleneck Risk</t>
  </si>
  <si>
    <t> Multi layer approvals may bottleneck time sensitive campaigns.</t>
  </si>
  <si>
    <t>MAR-023</t>
  </si>
  <si>
    <t>Stagnation Risk</t>
  </si>
  <si>
    <t>If quarterly feedback or annual SOP review lapses, outdated practices persist.</t>
  </si>
  <si>
    <t>MAR-024</t>
  </si>
  <si>
    <t>Budget Misallocation</t>
  </si>
  <si>
    <t>Inefficient or incorrect budget allocation leads to overspending or underperformance.</t>
  </si>
  <si>
    <t>MAR-025</t>
  </si>
  <si>
    <t>Skill Gaps in Marketing Teams</t>
  </si>
  <si>
    <t>Teams may lack knowledge of latest marketing trends or tools.</t>
  </si>
  <si>
    <t>All advertisements must be reviewed and approved by the Compliance Department before publication to ensure compliance with SAMA Rules (Art. 15). Content must be accurate, clear, not exaggerated, and must avoid misleading claims (Art. 1 &amp; 3).</t>
  </si>
  <si>
    <t>All marketing materials and external engagements must be pre-approved by Compliance. Employees must adhere to guidelines restricting disclosure of non-public information (Sec. 5, Sec. 7).</t>
  </si>
  <si>
    <t>Compliance Department must review and approve all marketing content before publication (Art. 15). Regular training sessions are conducted for marketing staff (Sec. 8). Policy to be reviewed every 3 years or as regulations change (Art. 14).</t>
  </si>
  <si>
    <t>Marketing must only use official channels or licensed third-party marketers under strict oversight. Compliance must approve all such engagements (Art. 13).</t>
  </si>
  <si>
    <t>All promotional offers must clearly describe mechanics, eligibility, and timelines, and must be documented in contracts where binding (Art. 4, Art. 12). Compliance review is mandatory (Art. 15).</t>
  </si>
  <si>
    <t>Customer data cannot be used for advertising without prior written consent (Art. 9). Explicit opt-in consent and easy opt-out mechanisms are required, and records must be maintained (Art. 11).</t>
  </si>
  <si>
    <t>Arabic must be the default language for marketing unless a clear justification exists for using another language, documented and approved by Compliance (Art. 2).</t>
  </si>
  <si>
    <t>A Service Level Agreement (SLA) defines timelines for marketing submissions and Compliance reviews. Urgent reviews can be expedited under agreed timelines (Sec. 8).</t>
  </si>
  <si>
    <t>Non-compliant ads must be withdrawn immediately upon SAMA’s request or internal detection (within 1 business day) (Art. 17). Corrective actions are documented, and repeated violations may trigger disciplinary measures (Sec. 7).</t>
  </si>
  <si>
    <t>It is strictly prohibited to use SAMA logos, counterfeit trademarks, or any intellectual property without proper authorization. All content undergoes Compliance review to ensure no infringement (Art. 5).</t>
  </si>
  <si>
    <t>Advertising financial or insurance products to individuals under 18 is strictly prohibited (Art. 10). Compliance reviews audience definitions during approval (Art. 15). Prohibiting any marketing content material (such as influencers) that is directed at audiences under 18. All content undergoes Compliance review to ensure no infringement</t>
  </si>
  <si>
    <t>Ads for products priced in foreign currencies must include a clear disclaimer stating that prices may fluctuate due to exchange rate changes (Art. 6). Compliance review ensures this is included. All public pricing information are to be displayed in Saudi Riyals (SR), reducing the likelihood of foreign currency-related omissions.</t>
  </si>
  <si>
    <t>The Marketing Policy must be reviewed at least every 3 years or sooner if regulations change (Art. 14). SLA is reviewed annually for alignment (Sec. 8).</t>
  </si>
  <si>
    <t>All communications, approvals, and reviews must be documented in a shared platform for transparency and audit readiness (Sec. 8). Quarterly reports summarize approvals, rejections, and incidents (Sec. 8).</t>
  </si>
  <si>
    <t>All marketing materials are centrally reviewed for consistency. Collaboration between marketing, creative, and regional teams is emphasized. Quarterly joint training sessions help align practices (Sec. 8).</t>
  </si>
  <si>
    <t>Major announcements are communicated selectively through PR, social media, leadership posts, and press releases. Strategic achievements are sometimes communicated following executive or cross-functional prompting. Partnerships and milestone announcements are reviewed by Marketing leadership when applicable.</t>
  </si>
  <si>
    <t>Heavy pipeline of speaking opportunities, media contributions, and industry participation. coverages withihn owned digital channels (Social media)</t>
  </si>
  <si>
    <t>CSR messaging occasionally appear in campaigns when aligned with strategic activations or events (example: Food waste savings, Ramadan).. etc.</t>
  </si>
  <si>
    <t xml:space="preserve">Marketing content, claims, statistics, and product-related statements undergo review and approval by interna stakeholders and leadership before publishing. Campaigns using external data sources include citation requirements when applicable.
</t>
  </si>
  <si>
    <t>NDA agreements exist with partners, vendors, and third parties with sensitive information sharing, and high-level disclosures are reviewed at executive level before external communication.</t>
  </si>
  <si>
    <t>Confidential information is shared internally on a need-to-know basis and strategic announcements require executive approval prior to public disclosure. Sensitive content related to roadmap, partnerships, and expansion plans is typically restricted and not published without validation</t>
  </si>
  <si>
    <t>Approval workflows are currently in place for all campaigns and external communications, requiring Marketing leadership and Compliance review when applicable. Time-sensitive requests may receive prioritized handling based on urgency and regulatory sensitivity.</t>
  </si>
  <si>
    <t>Budget planning is conducted annually and approved by leadership. Spending is monitored at both campaign and channel level, with clear escalation and approval requirements for any deviations or overspend requests.</t>
  </si>
  <si>
    <t>PD-001</t>
  </si>
  <si>
    <t>Customer Fund</t>
  </si>
  <si>
    <t>Product</t>
  </si>
  <si>
    <t>Risk of amalgamated fees to a different fund account, lead to financial loss.</t>
  </si>
  <si>
    <t>PD-002</t>
  </si>
  <si>
    <t>Transfer Execution</t>
  </si>
  <si>
    <t>Failure to execute the timely and accurate transfer of fees to the company's account may result in operational inefficiencies, financial losses, and potential disruptions to cash flow management</t>
  </si>
  <si>
    <t>PD-003</t>
  </si>
  <si>
    <t>The risk of transfer rejections by the beneficiary’s bank due to client-related issues may result in financial losses, delays in transactions, and potential reputational damage.</t>
  </si>
  <si>
    <t>PD-004</t>
  </si>
  <si>
    <t xml:space="preserve"> Beneficiary account</t>
  </si>
  <si>
    <t>Risk of amendment to the beneficiary account, lead to fraud and financial loss.</t>
  </si>
  <si>
    <t>PD-005</t>
  </si>
  <si>
    <t>Fund Transfer</t>
  </si>
  <si>
    <t>Failure to transfer received funds to the designated beneficiary in a timely and accurate manner may result in operational inefficiencies, financial losses, and potential reputational damage.</t>
  </si>
  <si>
    <t>PD-006</t>
  </si>
  <si>
    <t xml:space="preserve">Settlement </t>
  </si>
  <si>
    <t>Failure to settle the correct amount due to internal system error/Bank side, lead to operation insufficiency, financial loss and reputational impact.</t>
  </si>
  <si>
    <t>PD-007</t>
  </si>
  <si>
    <t>System configuration</t>
  </si>
  <si>
    <t>Failure of system configuration, lead to operation insufficiency and financial loss.</t>
  </si>
  <si>
    <t>PD-008</t>
  </si>
  <si>
    <t xml:space="preserve"> Production environment</t>
  </si>
  <si>
    <t>Inadequate testing of Pay 2 before releasing to the Production environment, lead to operation insufficiency financial loss.</t>
  </si>
  <si>
    <t>PD-009</t>
  </si>
  <si>
    <t>Failure of the hardware due to technical errors or damages, lead to operation insufficiency.</t>
  </si>
  <si>
    <t>PD-010</t>
  </si>
  <si>
    <t>Aggregate account Permissions</t>
  </si>
  <si>
    <t>Absence of pre-approved authority and maintenance of the authorizers on the aggregation account, lead to Fraud financial loss.</t>
  </si>
  <si>
    <t>PD-011</t>
  </si>
  <si>
    <t>Uses of the account</t>
  </si>
  <si>
    <t>Risk of Using the account for unauthorized purposes such as payment of expenses, lead to fraud and financial loss.</t>
  </si>
  <si>
    <t>PD-012</t>
  </si>
  <si>
    <t>Agregation Acount</t>
  </si>
  <si>
    <t>Risk of Opening and Depositing clients’ money in an aggregation account without taking the Central Bank’s no-objection to open it, lead financial loss and reputational impact.</t>
  </si>
  <si>
    <t>PD-013</t>
  </si>
  <si>
    <t>Aggregation Account</t>
  </si>
  <si>
    <t>Risk of Naming the account with a name that is not related to Safeguarded Funds Account, lead to fraud and financial loss.</t>
  </si>
  <si>
    <t>PD-014</t>
  </si>
  <si>
    <t>Absence of comprehensive policies and procedures for protecting customer funds, lead operation insufficiency, financial loss and reputational impact.</t>
  </si>
  <si>
    <t>PD-015</t>
  </si>
  <si>
    <t xml:space="preserve"> Depositing Funds</t>
  </si>
  <si>
    <t>Failure to deposit funds into the account for more than two business days after receiving the funds, lead to operation insufficiency, financial loss and reputational impact.</t>
  </si>
  <si>
    <t>PD-016</t>
  </si>
  <si>
    <t>Data System</t>
  </si>
  <si>
    <t>Risk of leak of the Customers personal data due to some system level bug, lead operation insufficiency and reputational impact.</t>
  </si>
  <si>
    <t>PD-017</t>
  </si>
  <si>
    <t xml:space="preserve">Software </t>
  </si>
  <si>
    <t>Risk of software errors of merchant information to be leaked, or manipulated, lead to operation insufficiency, financial loss, reputational damage and legal prosecution.</t>
  </si>
  <si>
    <t>PD-018</t>
  </si>
  <si>
    <t>Data Integrity</t>
  </si>
  <si>
    <t>Risk of Data integrity, of merchant information to be leaked, or manipulated, lead to operation insufficiency, financial loss, reputational impact and legal prosecution.</t>
  </si>
  <si>
    <t>1- Opening separate accounts with the bank covering the pool and fees.
2- Safeguarding funds segregation implemented during the settlement process to ensure fee collection in a separate account.</t>
  </si>
  <si>
    <t>The transfer of fee is an automated process, which has been tested thoroughly in the past two years. it segregates the fee every night at a specific time</t>
  </si>
  <si>
    <t>Daily monitoring of merchants failed transfer transactions</t>
  </si>
  <si>
    <t>1- Change request process is established for customer requesting the change of IBAN.
2- Dual control for IBAN Amendments
3- End of day report review by the manager of IBAN changes
4- IBAN is verified against the CR before the change is made</t>
  </si>
  <si>
    <t>System built in matching the accounts and customer uniqe number</t>
  </si>
  <si>
    <t>Financial audit on bi-weekly basis allows us to rectify these issues if happens</t>
  </si>
  <si>
    <t>Maker and Checker is implemented in the system to avoid these issues. The one who makes the configuration changes need someone else to approve them</t>
  </si>
  <si>
    <t>Proper version controlling system is in placed via GITHUB to ensure only tested builds are released to the production environment.</t>
  </si>
  <si>
    <t>- SLA to troubleshoot the failure with PSP's
- Monitoring of PSP's performance 
- Penalties to PSP's incase SLA breach</t>
  </si>
  <si>
    <t xml:space="preserve">1- Pre-approval process for the authorized persons approved by level of authority as defined in the approved authority matrix.
2- Submission the requist to the bank who receive the list by the authorized person. </t>
  </si>
  <si>
    <t>1- restricted policy stating the prevention of any operational transactions.
2- having three levels required to execute any transaction, however no manual transaction is made</t>
  </si>
  <si>
    <t>Setting up authority matrix defining the level of approvals required to open new aggregation account.</t>
  </si>
  <si>
    <t>The Bank form includes the purpose of opening the account which filled by the authorized person.</t>
  </si>
  <si>
    <t>1- Established policy and procedures covering the customer protections which is approved by the Board of directors. 
2- Peridic review is defined to be performed for each document.</t>
  </si>
  <si>
    <t xml:space="preserve">This daily process is perfomed twice a day as per the approved policy </t>
  </si>
  <si>
    <t>The system is being tested and remediated. Both manual test and regression tests are performed for each release</t>
  </si>
  <si>
    <t>PT and VA are conducting in regular basis however code review system will be implemented as part of cyber security strategy</t>
  </si>
  <si>
    <t>Access management policy and procedure in place including the implementation of IAM</t>
  </si>
  <si>
    <t>A&amp;F - 001</t>
  </si>
  <si>
    <t>Reconciliation Errors</t>
  </si>
  <si>
    <t>Head of Accounting &amp; Finance</t>
  </si>
  <si>
    <t>Errors in reconciling payment gateway, bank, and ledger balances may cause financial misstatements or delayed settlements.</t>
  </si>
  <si>
    <t>A&amp;F - 002</t>
  </si>
  <si>
    <t>Suspense Account Build-up</t>
  </si>
  <si>
    <t>Delays in clearing suspense accounts leading to inaccurate financial reporting.</t>
  </si>
  <si>
    <t>A&amp;F - 003</t>
  </si>
  <si>
    <t>Delay in Vendor Payments</t>
  </si>
  <si>
    <t>Late payments affecting vendor relations and potential legal consequences.</t>
  </si>
  <si>
    <t>A&amp;F - 004</t>
  </si>
  <si>
    <t>FX Rate Misapplication</t>
  </si>
  <si>
    <t>Wrong FX rate usage causing incorrect conversions in books or reporting.</t>
  </si>
  <si>
    <t>A&amp;F - 005</t>
  </si>
  <si>
    <t>Fraudulent Payments</t>
  </si>
  <si>
    <t>Unauthorized payments due to fraud impacting company finances.</t>
  </si>
  <si>
    <t>A&amp;F - 006</t>
  </si>
  <si>
    <t>Manual Journal Posting Errors</t>
  </si>
  <si>
    <t>Manual errors during journal entries causing misstatements.</t>
  </si>
  <si>
    <t>A&amp;F - 007</t>
  </si>
  <si>
    <t>Revenue Leakage</t>
  </si>
  <si>
    <t>Unrecorded income due to system gaps or oversight.</t>
  </si>
  <si>
    <t>A&amp;F - 008</t>
  </si>
  <si>
    <t>Compliance Reporting Delays</t>
  </si>
  <si>
    <t>Delays in providing reports to SAMA or stakeholders.</t>
  </si>
  <si>
    <t>A&amp;F - 009</t>
  </si>
  <si>
    <t>Misclassification of Revenue</t>
  </si>
  <si>
    <t>Revenue wrongly recorded under incorrect GL accounts.</t>
  </si>
  <si>
    <t>A&amp;F - 010</t>
  </si>
  <si>
    <t>Errors in Financial Close Process</t>
  </si>
  <si>
    <t>Incomplete closing processes leading to delays or errors.</t>
  </si>
  <si>
    <t>A&amp;F - 011</t>
  </si>
  <si>
    <t>Errors in Journal Entries</t>
  </si>
  <si>
    <t>Manual errors or incorrect coding in journal entries could lead to misstated financial records.</t>
  </si>
  <si>
    <t>A&amp;F - 012</t>
  </si>
  <si>
    <t>Incorrect VAT Filing</t>
  </si>
  <si>
    <t>Errors in VAT returns filing may cause penalties from ZATCA.</t>
  </si>
  <si>
    <t>A&amp;F - 013</t>
  </si>
  <si>
    <t>Bank Reconciliation Discrepancies</t>
  </si>
  <si>
    <t>Unreconciled bank balances could cause financial misstatements.</t>
  </si>
  <si>
    <t>A&amp;F - 014</t>
  </si>
  <si>
    <t>Incorrect Payroll Processing</t>
  </si>
  <si>
    <t>Errors in payroll can result in employee dissatisfaction or legal issues.</t>
  </si>
  <si>
    <t>A&amp;F - 015</t>
  </si>
  <si>
    <t>Failure in Accounts Payable Controls</t>
  </si>
  <si>
    <t>Payments made to wrong vendors or duplicate payments.</t>
  </si>
  <si>
    <t>A&amp;F - 016</t>
  </si>
  <si>
    <t>Errors in Intercompany Transactions</t>
  </si>
  <si>
    <t>Incorrect intercompany eliminations affect consolidation.</t>
  </si>
  <si>
    <t>A&amp;F - 017</t>
  </si>
  <si>
    <t>Cash Flow Forecasting Errors</t>
  </si>
  <si>
    <t>Inaccurate cash flow forecasts may cause liquidity issues.</t>
  </si>
  <si>
    <t>A&amp;F - 018</t>
  </si>
  <si>
    <t>Inaccurate Fixed Asset Register</t>
  </si>
  <si>
    <t>Errors in fixed asset register lead to depreciation errors.</t>
  </si>
  <si>
    <t>A&amp;F - 019</t>
  </si>
  <si>
    <t>Duplicate Customer Refunds</t>
  </si>
  <si>
    <t>Duplicate refunds cause financial losses.</t>
  </si>
  <si>
    <t>A&amp;F - 020</t>
  </si>
  <si>
    <t>Duplicate Invoice Processing</t>
  </si>
  <si>
    <t>Duplicate invoices increase costs.</t>
  </si>
  <si>
    <t>A&amp;F - 021</t>
  </si>
  <si>
    <t>Poor Asset tracking or tagging</t>
  </si>
  <si>
    <t>Inaccurate asset records in Fixed Asset Register.</t>
  </si>
  <si>
    <t>A&amp;F - 022</t>
  </si>
  <si>
    <t>Duplication of purchases because existing assets cannot be easily identified.</t>
  </si>
  <si>
    <t>A&amp;F - 023</t>
  </si>
  <si>
    <t>Lost or stolen assets may go unnoticed → direct financial loss</t>
  </si>
  <si>
    <t>A&amp;F - 024</t>
  </si>
  <si>
    <t>Inaccurate depreciation and valuation → misleading financial statements.</t>
  </si>
  <si>
    <t>A&amp;F - 026</t>
  </si>
  <si>
    <t>Back dated Entries Risk</t>
  </si>
  <si>
    <t>Back-dating entries can be used to conceal errors, unauthorized transactions, or fraudulent activities.</t>
  </si>
  <si>
    <t>A&amp;F - 027</t>
  </si>
  <si>
    <t>Delegation of Authority</t>
  </si>
  <si>
    <t>Without having Delegation of Authority matrix, we will face a high chances of poor financial discipline, Liquidity Issues,Inaccurate financial reporting,Inefficient operations, delayed payments etc</t>
  </si>
  <si>
    <t>A&amp;F - 028</t>
  </si>
  <si>
    <t>CWIP Projects</t>
  </si>
  <si>
    <t xml:space="preserve">Projects which are in work in progress phase but incorrectly expensed out, so due to this overstatement on Operational Expenses in PNL. </t>
  </si>
  <si>
    <t>A&amp;F - 029</t>
  </si>
  <si>
    <t>Misalignment Between Finance and Project Teams.Lack of coordination between Finance, Procurement, and Project Management results in poor tracking of project progress. It also leads to variance between Budgeted CWIP Project VS Actual project cost</t>
  </si>
  <si>
    <t>A&amp;F - 030</t>
  </si>
  <si>
    <t>Payment Without Proper Authorization</t>
  </si>
  <si>
    <t>Invoices processed and paid without the required approvals per the Delegation of Authority (DoA) or signature matrix.</t>
  </si>
  <si>
    <t>A&amp;F - 031</t>
  </si>
  <si>
    <t>Inadequate Supporting Documentation</t>
  </si>
  <si>
    <t>Invoices settled without sufficient documentation — e.g., missing purchase orders, delivery notes, or vendor contracts. Risk of Duplicate vendor payments</t>
  </si>
  <si>
    <t>A&amp;F - 032</t>
  </si>
  <si>
    <t>Payments to Incorrect or Unauthorized Bank Accounts</t>
  </si>
  <si>
    <t>Incorrect or outdated merchant/vendor banking details recorded in the system which may lead to Financial Loss or Regulatory Breaches.</t>
  </si>
  <si>
    <t>A&amp;F - 033</t>
  </si>
  <si>
    <t>Settlement Timing Mismatch</t>
  </si>
  <si>
    <t>Mismatch between merchant settlement cycles (daily or next-day payouts) and receipt of funds from acquiring banks which Breach of SLA or SAMA PSP Settlement Guidelines.</t>
  </si>
  <si>
    <t>A&amp;F - 034</t>
  </si>
  <si>
    <t>Funds Transferred Between Operational Account to Aggregator accounts to settle the merchants, but once the amount receive to aggregator account the transfer to operational account is not done by the management which leads to  misstatement.</t>
  </si>
  <si>
    <t>A&amp;F - 035</t>
  </si>
  <si>
    <t>Penalty Codes appears in Trial Balance</t>
  </si>
  <si>
    <t>Penalty amounts may be incorrectly classified under general expenses rather than “non-operating or exceptional items,” leading to P&amp;L distortion.</t>
  </si>
  <si>
    <t>Regular reconciliations (daily/weekly depending on account) between NetSuite, bank statements, and payment gateways. Exceptions reviewed by the team with escalation policy for unresolved items.</t>
  </si>
  <si>
    <t>Three-way PO matching in NetSuite, payment run calendar with cut-off dates, and maker-checker approval on bank portal. Monthly vendor reconciliations and exception reports reviewed by Accounting Manager.</t>
  </si>
  <si>
    <t>Use of official FX rates auto-fed into NetSuite. Independent review of large FX transactions. Monthly FX revaluation run with Accounting Manager sign-off.</t>
  </si>
  <si>
    <t>Three-way PO matching in NetSuite, payment run calendar with cut-off dates, and maker-checker- releaser approval on bank portal. Monthly vendor reconciliations and exception reports reviewed by Accounting Manager.</t>
  </si>
  <si>
    <t>Process-specific reviews in NetSuite with supervisory oversight. Regular monitoring, exception reporting, and escalation framework in place for detected issues.</t>
  </si>
  <si>
    <t>weekly bank reco.</t>
  </si>
  <si>
    <t>considering the reports part of the closing process.</t>
  </si>
  <si>
    <t>entry approval of the accounting manager</t>
  </si>
  <si>
    <t>Month-end close checklist enforced with deadlines (T+2, T+5). Supervisory review of all manual journal entries. Consolidation pack reviewed by Group Head before submission.</t>
  </si>
  <si>
    <t>Tax filings prepared by local teams and reviewed by Group Accounting. Compliance calendar with submission deadlines monitored. External tax advisors engaged for complex cases.</t>
  </si>
  <si>
    <t>daily reco.</t>
  </si>
  <si>
    <t>Payroll is prepared by TR, reviewd by finance.</t>
  </si>
  <si>
    <t>Intercompany postings recorded in NetSuite. Monthly reconciliations across entities with exception clearance before closing. Outstanding balances escalated to Group Accounting Head.</t>
  </si>
  <si>
    <t>Daily cash/bank reconciliations prepared and reviewed. Bank signatories maintained with dual authorization policy. Cash advances tracked through petty cash module.</t>
  </si>
  <si>
    <t>Fixed asset additions tied to approved capex requests. Monthly depreciation run. Quarterly reconciliation of fixed asset register with GL and annual physical verification.</t>
  </si>
  <si>
    <t>refunds requetsed from operation, made by an accountant, reviewd by manager, relased by head.</t>
  </si>
  <si>
    <t>CS-001</t>
  </si>
  <si>
    <t>Data breach and data exfiltration</t>
  </si>
  <si>
    <t>Information Technology</t>
  </si>
  <si>
    <t>Mustafa Al Masri</t>
  </si>
  <si>
    <t>A data breach is the unauthorised movement or disclosure of sensitive private or business information. A data breach occurs when sensitive or personal information is accessed, disclosed or exposed to unauthorised people. This can occur accidentally or as the result of a security breach. Data exfiltration typically involves a cybercriminal stealing data from personal or corporate devices, using various cyberattack methods. A common data exfiltration definition is the theft or unauthorised removal or movement of any data from a device.</t>
  </si>
  <si>
    <t>CS-002</t>
  </si>
  <si>
    <t>Denial of service attacks and Distributed Denial of service attacks</t>
  </si>
  <si>
    <t xml:space="preserve">Cyber Security  + Information Technology </t>
  </si>
  <si>
    <t>Mustafa Al Masri + Abdullah Alaydarous</t>
  </si>
  <si>
    <t>Distributed Denial of Service is an attack method in which malicious parties target servers an overload them with user traffic. When a server cannot handle incoming requests, the website it hosts shuts down or slows to unusable performance.</t>
  </si>
  <si>
    <t>CS-003</t>
  </si>
  <si>
    <t>Malware including Trojan Virus</t>
  </si>
  <si>
    <t>Malware can be distributed in several ways:
• By spam email or messages, either as a link or an attachment,
• By malicious websites that attempt to install malware when users visit,
• By exploiting weaknesses in software on devices such as laptops and mobile telephones,
• By posing as a trusted application that users download and install themselves,
• Pretending to be antivirus or security products.</t>
  </si>
  <si>
    <t>CS-004</t>
  </si>
  <si>
    <t>Man-in-the-middle attacks</t>
  </si>
  <si>
    <t>A man in the middle (MITM) attack occurs when cybercriminals intercept and alter network traffic flowing between IT systems. The MITM attack impersonates both senders and receivers on the network. It aims to trick both into sending unencrypted data that the attacker intercepts and can use for further attacks or financial gain.
Examples of MitM attacks include:
• Wi-Fi eavesdropping,
• Email hijacking,
• DNS spoofing,
• IP spoofing.</t>
  </si>
  <si>
    <t>CS-005</t>
  </si>
  <si>
    <t>Phishing attacks</t>
  </si>
  <si>
    <t>Phishing scams are an older attack method and rely on social engineering to achieve its goal. Typically, an end user receives a message or email which requests sensitive data, such as a password. Sometimes, the phishing message appears official, using legitimate appearing addresses and media. This compels an individual to click on links and accidentally give away sensitive information.</t>
  </si>
  <si>
    <t>CS-006</t>
  </si>
  <si>
    <t>Ransomware</t>
  </si>
  <si>
    <t>Ransomware is a common malware that makes data or systems unusable until the victim makes a payment. It works by locking up or encrypting files so they can no longer be accessed. A ransom, usually in the form of cryptocurrency, is demanded to restore access to the files. Cybercriminals may also demand a ransom to prevent data and intellectual property from being leaked or sold online. Ransomware as a service (RaaS) is a malicious adaptation of the software as a service (SaaS) business model. It is a subscription-based model that sells or rents predeveloped ransomware tools to buyers, called ransomware affiliates, to execute ransomware attacks.</t>
  </si>
  <si>
    <t>CS-007</t>
  </si>
  <si>
    <t>Password Theft</t>
  </si>
  <si>
    <t xml:space="preserve">Password attacks refer to any cyber attacks in which hackers try to guess, brute force, or deceive you into revealing your passwords. </t>
  </si>
  <si>
    <t>CS-008</t>
  </si>
  <si>
    <t>Cross Site Attack</t>
  </si>
  <si>
    <t>Cyber Security</t>
  </si>
  <si>
    <t>Abdullah Alaydarous</t>
  </si>
  <si>
    <t>Referred to as an XSS attack. In this instance, a third-party will target a vulnerable website, typically one lacking encryption. Once targeted the dangerous code loads onto the site. When a regular user accesses said website, that payload is delivered either to their system or browser, causing unwanted behaviour. The goal is to either disrupt standard services or steal user information.</t>
  </si>
  <si>
    <t>CS-009</t>
  </si>
  <si>
    <t>Zero-Day Exploits</t>
  </si>
  <si>
    <t>Occurring after the discovery of a “zero-day vulnerability,” an exploit is a targeted attack against a system, network, or software. This attack takes advantage of an overlooked security problem, looking to cause unusual behaviour, damage data, and steal information.</t>
  </si>
  <si>
    <t>CS-010</t>
  </si>
  <si>
    <t>SQL Injection</t>
  </si>
  <si>
    <t>An SQL attack is essentially data manipulation, implemented to access information which isn’t meant to be available. Essentially, malicious third parties manipulate SQL “queries” (the typical string of code request sent to a service or server) to retrieve sensitive info.</t>
  </si>
  <si>
    <t>CS-011</t>
  </si>
  <si>
    <t>Social Engineering</t>
  </si>
  <si>
    <t>Similar to phishing, social engineering is the umbrella method for attempting to deceive users into giving away sensitive details. This can occur on any platform, and malicious parties will often go to great lengths to accomplish their goals, such as utilizing social-media info.</t>
  </si>
  <si>
    <t>CS-012</t>
  </si>
  <si>
    <t>Insider threats</t>
  </si>
  <si>
    <t>Employees or contractors who use their credentials to gain unauthorised access and — either intentionally or unintentionally — expose the company to malicious software and other security risks or steal personal data or other sensitive information.</t>
  </si>
  <si>
    <t>CS-013</t>
  </si>
  <si>
    <t>Delayed Incident Response</t>
  </si>
  <si>
    <t>Delay is incident responses could resulting escalating in to a crisis/disaster.</t>
  </si>
  <si>
    <t>CS-014</t>
  </si>
  <si>
    <t>Third-Party Vendor Risk</t>
  </si>
  <si>
    <t>Security breaches from third-party vendors with access to IT networks.</t>
  </si>
  <si>
    <t>CS-015</t>
  </si>
  <si>
    <t>Access to online converters</t>
  </si>
  <si>
    <t>Online conversion tools can be accessed by all the users. They can upload files to the converter and get the file in required format. These files may put user computer or business server at risk of getting infected with malware/virus or any type of cyber attack.</t>
  </si>
  <si>
    <t>CS-016</t>
  </si>
  <si>
    <t>Advanced Persistent Threats (APTs)</t>
  </si>
  <si>
    <t>APTs are targeted, complex, and sophisticated cyberattacks where the threat actors gain access to a network or system and stay within for a long time. During this time, they try to gain access to various networks and systems within an organisation and try to gain as much information as possible.</t>
  </si>
  <si>
    <t>CS-017</t>
  </si>
  <si>
    <t>Lack of cyber security reviews</t>
  </si>
  <si>
    <t>Khaled Alkhalifa</t>
  </si>
  <si>
    <t>Configuration reviews of cyber security devices are not performed.</t>
  </si>
  <si>
    <t>CS-018</t>
  </si>
  <si>
    <t>Lack of MSBs for cyber security devices</t>
  </si>
  <si>
    <t>If MSBs are not implemented/configured, devices could be vulnerable to cyber attacks</t>
  </si>
  <si>
    <t>CS-019</t>
  </si>
  <si>
    <t>Usage of generic/group IDs/accounts</t>
  </si>
  <si>
    <t>If generic, group IDs are used, there could be a lack of accountability.</t>
  </si>
  <si>
    <t>CS-020</t>
  </si>
  <si>
    <t>Lack of log reviews</t>
  </si>
  <si>
    <t>If logs are not reviewed periodically, cyber attacks could go undetected, compromising the network.</t>
  </si>
  <si>
    <t>CS-021</t>
  </si>
  <si>
    <t xml:space="preserve">Absence of red teaming exercise </t>
  </si>
  <si>
    <t>Red team operations give organisations a way to proactively uncover, understand and fix security risks before threat actors can exploit them.  Absence of red teaming will expose the network to malicious individuals.</t>
  </si>
  <si>
    <t>CS-022</t>
  </si>
  <si>
    <t>Assets register is not updated</t>
  </si>
  <si>
    <t>Failure to update the asset register can lead to inaccurate asset tracking, non-compliance, resource misallocation, and increased vulnerability to cyber threats or misuse.</t>
  </si>
  <si>
    <t>CS-023</t>
  </si>
  <si>
    <t>Lack of cyber security governance</t>
  </si>
  <si>
    <t>Without proper cybersecurity governance, the organisation faces heightened risks of cyberattacks, data breaches, non-compliance, and reputational damage due to inadequate security controls and oversight.</t>
  </si>
  <si>
    <t>CS-024</t>
  </si>
  <si>
    <t>Absence of vulnerability and penetration testing activities</t>
  </si>
  <si>
    <t>If VAPT activities are not performed, malicious individuals could exploit vulnerabilities in the network causing multiple damages.</t>
  </si>
  <si>
    <t>CS-025</t>
  </si>
  <si>
    <t>Lack of Dedicated Cybersecurity Budget</t>
  </si>
  <si>
    <t>The absence of a dedicated cybersecurity budget can lead to insufficient investment in security tools, personnel, and processes, increasing the likelihood of cyber threats and vulnerabilities remaining unaddressed.</t>
  </si>
  <si>
    <t>CS-026</t>
  </si>
  <si>
    <t>Absence of IAM/PAM Tools</t>
  </si>
  <si>
    <t>Without Identity and Access Management (IAM) and Privileged Access Management (PAM) tools, organisations lack centralized control over user and privileged access, increasing the risk of unauthorised access and insider threats.</t>
  </si>
  <si>
    <t>CS-027</t>
  </si>
  <si>
    <t>Unrestricted DBA Access</t>
  </si>
  <si>
    <t>Unrestricted access for Database Administrators (DBAs) without proper oversight can lead to unauthorised data modifications, insider threats, and compliance violations, posing a significant security risk.</t>
  </si>
  <si>
    <t>CS-028</t>
  </si>
  <si>
    <t>Lack of Periodic Access Reviews</t>
  </si>
  <si>
    <t>The absence of regular access reviews increases the risk of unauthorised access to critical systems and data, potentially leading to data breaches and non-compliance with regulatory requirements.</t>
  </si>
  <si>
    <t>CS-029</t>
  </si>
  <si>
    <t>Absence of Account Lockout Mechanism</t>
  </si>
  <si>
    <t>Without an account lockout mechanism, brute force attacks can be conducted against user accounts, leading to unauthorised access and potential system compromise.</t>
  </si>
  <si>
    <t>CS-030</t>
  </si>
  <si>
    <t>Lack of Segregation of Duties in SDLC</t>
  </si>
  <si>
    <t>Ahmad Abdullah + Mustafa Al Masri</t>
  </si>
  <si>
    <t>Failure to enforce segregation of duties (SoD) in the Software Development Life Cycle (SDLC) can result in unchecked changes, unauthorised code deployments, and increased risks of security vulnerabilities in applications.</t>
  </si>
  <si>
    <t>CS-031</t>
  </si>
  <si>
    <t>Non-Adherence to OWASP Top 10 Standards</t>
  </si>
  <si>
    <t>Ignoring OWASP Top 10 security standards in application development leads to increased risks of common vulnerabilities such as SQL injection, cross-site scripting (XSS), and insecure authentication.</t>
  </si>
  <si>
    <t>CS-032</t>
  </si>
  <si>
    <t>Absence of Code Review Process</t>
  </si>
  <si>
    <t>Lack of a structured code review process results in undetected security flaws in software, making applications more susceptible to exploitation by attackers.</t>
  </si>
  <si>
    <t>CS-033</t>
  </si>
  <si>
    <t>Use of Vulnerable Firewall Version</t>
  </si>
  <si>
    <t>Running an outdated or vulnerable firewall version exposes the organisation to potential exploits, leaving critical systems unprotected against network-based attacks.-  Running FortiGate v7.2.4 with known security vulnerabilities (CVE-2023-27997, CVE-2023-33305, CVE-2022-41328) increases the risk of remote exploitation, unauthorized access, and potential system compromise.</t>
  </si>
  <si>
    <t>CS-034</t>
  </si>
  <si>
    <t>Absence of Data Loss Prevention (DLP) Solution &amp; Endpoint Protection</t>
  </si>
  <si>
    <t>Without DLP and endpoint protection, sensitive data can be leaked or exfiltrated, increasing the risk of data breaches, regulatory penalties, and reputational damage.</t>
  </si>
  <si>
    <t>CS-035</t>
  </si>
  <si>
    <t>Missing Patch Management</t>
  </si>
  <si>
    <t>The lack of a structured patch management process results in unpatched vulnerabilities across systems, making them easy targets for cyberattacks, including ransomware and zero-day exploits.</t>
  </si>
  <si>
    <t>CS-036</t>
  </si>
  <si>
    <t>Lack of Periodic Risk Assessments</t>
  </si>
  <si>
    <t>Without regular cybersecurity risk assessments, organisations cannot effectively identify, evaluate, and mitigate potential threats, leaving security gaps unaddressed.</t>
  </si>
  <si>
    <t>CS-037</t>
  </si>
  <si>
    <t xml:space="preserve">Absence of Mobile Device Management (MDM) Solution </t>
  </si>
  <si>
    <t>Lack of an MDM solution increases the risk of unauthorized access, data leakage, and security breaches due to unprotected mobile devices and lack of separation between business and personal data.</t>
  </si>
  <si>
    <t>CS-038</t>
  </si>
  <si>
    <t xml:space="preserve">Lack of implementation of CS Documents </t>
  </si>
  <si>
    <t xml:space="preserve">Lack of security implementation, Audits, and Documentation </t>
  </si>
  <si>
    <t>CS-039</t>
  </si>
  <si>
    <t>CS-043</t>
  </si>
  <si>
    <t>Incomplete Asset Integration with SIEM</t>
  </si>
  <si>
    <t>Mostafa + Abuobaida</t>
  </si>
  <si>
    <t xml:space="preserve"> Not all organizational assets (Windows Servers, Hypervisor and OCI) are integrated with the SIEM, causing limited visibility, incomplete log collection, and blind spots in threat detection. This may result in undetected malicious activity, delayed response, compliance gaps, and potential breaches.</t>
  </si>
  <si>
    <t>CS-044</t>
  </si>
  <si>
    <t>Weak Identity and Access Management Controls</t>
  </si>
  <si>
    <t>Mostafa + Ahmad Abdalla</t>
  </si>
  <si>
    <t>Across core infrastructure, identity and access practices are weak:
Firewall: Users access firewalls with local accounts (no AD integration) and password security settings are disabled.
Windows: Default Administrator account is in use, service accounts are part of the Administrators group with interactive logins, account lockout policies are not enforced, and admin accounts have non-expiring passwords.
Linux: Root account is used directly, users access servers with shared root credentials, admins lack dedicated user accounts, and no account lockout/security policies are enabled.
These issues collectively reduce accountability, weaken authentication controls, and increase the risk of unauthorized access, compliance gaps, and undetected security breaches.</t>
  </si>
  <si>
    <t>CS-045</t>
  </si>
  <si>
    <t>MFA Not enabled for all VPN Users</t>
  </si>
  <si>
    <t>Mostafa</t>
  </si>
  <si>
    <t>No MFA on VPN accounts increases the risk of unauthorized remote access and data breach.</t>
  </si>
  <si>
    <t>CS-046</t>
  </si>
  <si>
    <t xml:space="preserve">OCI certificate not renewed </t>
  </si>
  <si>
    <t>Data</t>
  </si>
  <si>
    <t xml:space="preserve">AbuObadia + Ahmad Abdullah </t>
  </si>
  <si>
    <t>Expired Certificate since 2020</t>
  </si>
  <si>
    <t xml:space="preserve">AbuObadia </t>
  </si>
  <si>
    <t>CS-048</t>
  </si>
  <si>
    <t xml:space="preserve">Access limitation </t>
  </si>
  <si>
    <t xml:space="preserve"> Abuobaida is not providing support as this is continuously communicated with his perspective </t>
  </si>
  <si>
    <t xml:space="preserve">VPN </t>
  </si>
  <si>
    <t>IT</t>
  </si>
  <si>
    <t>Mostafa El-masri</t>
  </si>
  <si>
    <t xml:space="preserve">Not giving VPN for remote users </t>
  </si>
  <si>
    <r>
      <rPr>
        <b/>
        <i/>
        <sz val="12"/>
        <rFont val="Calibri"/>
        <family val="2"/>
      </rPr>
      <t>Current Controls in Place</t>
    </r>
    <r>
      <rPr>
        <sz val="11"/>
        <color theme="1"/>
        <rFont val="Calibri"/>
        <family val="2"/>
        <scheme val="minor"/>
      </rPr>
      <t xml:space="preserve">
</t>
    </r>
    <r>
      <rPr>
        <sz val="11"/>
        <rFont val="Calibri"/>
        <family val="2"/>
      </rPr>
      <t>1) Implemented DLP Solution</t>
    </r>
    <r>
      <rPr>
        <sz val="11"/>
        <color theme="1"/>
        <rFont val="Calibri"/>
        <family val="2"/>
        <scheme val="minor"/>
      </rPr>
      <t xml:space="preserve">
</t>
    </r>
    <r>
      <rPr>
        <sz val="11"/>
        <rFont val="Calibri"/>
        <family val="2"/>
      </rPr>
      <t>2) Enrolled all HQ End User machines in DLP</t>
    </r>
    <r>
      <rPr>
        <sz val="11"/>
        <color theme="1"/>
        <rFont val="Calibri"/>
        <family val="2"/>
        <scheme val="minor"/>
      </rPr>
      <t xml:space="preserve">
</t>
    </r>
    <r>
      <rPr>
        <sz val="11"/>
        <rFont val="Calibri"/>
        <family val="2"/>
      </rPr>
      <t>3) Enabled DLP Policies in Audit Mode</t>
    </r>
    <r>
      <rPr>
        <sz val="11"/>
        <color theme="1"/>
        <rFont val="Calibri"/>
        <family val="2"/>
        <scheme val="minor"/>
      </rPr>
      <t xml:space="preserve">
</t>
    </r>
    <r>
      <rPr>
        <sz val="11"/>
        <rFont val="Calibri"/>
        <family val="2"/>
      </rPr>
      <t>4) Disabled USB access on End user machines from EDR (Kaspersky)</t>
    </r>
    <r>
      <rPr>
        <sz val="11"/>
        <color theme="1"/>
        <rFont val="Calibri"/>
        <family val="2"/>
        <scheme val="minor"/>
      </rPr>
      <t xml:space="preserve">
</t>
    </r>
    <r>
      <rPr>
        <sz val="11"/>
        <rFont val="Calibri"/>
        <family val="2"/>
      </rPr>
      <t xml:space="preserve">5) Blocked All applications and whitelisting only required applications in EDR based on the application types and approvals </t>
    </r>
    <r>
      <rPr>
        <sz val="11"/>
        <color theme="1"/>
        <rFont val="Calibri"/>
        <family val="2"/>
        <scheme val="minor"/>
      </rPr>
      <t xml:space="preserve">
</t>
    </r>
    <r>
      <rPr>
        <sz val="11"/>
        <rFont val="Calibri"/>
        <family val="2"/>
      </rPr>
      <t>6) Configuration of Data Classification tool is</t>
    </r>
    <r>
      <rPr>
        <sz val="11"/>
        <color theme="1"/>
        <rFont val="Calibri"/>
        <family val="2"/>
        <scheme val="minor"/>
      </rPr>
      <t xml:space="preserve">
</t>
    </r>
    <r>
      <rPr>
        <sz val="11"/>
        <rFont val="Calibri"/>
        <family val="2"/>
      </rPr>
      <t>7) Completed and Enrolled Windows user machines</t>
    </r>
    <r>
      <rPr>
        <sz val="11"/>
        <color theme="1"/>
        <rFont val="Calibri"/>
        <family val="2"/>
        <scheme val="minor"/>
      </rPr>
      <t xml:space="preserve">
</t>
    </r>
    <r>
      <rPr>
        <sz val="11"/>
        <rFont val="Calibri"/>
        <family val="2"/>
      </rPr>
      <t>Implemented Proxy Solution</t>
    </r>
    <r>
      <rPr>
        <sz val="11"/>
        <color theme="1"/>
        <rFont val="Calibri"/>
        <family val="2"/>
        <scheme val="minor"/>
      </rPr>
      <t xml:space="preserve">
</t>
    </r>
    <r>
      <rPr>
        <sz val="11"/>
        <rFont val="Calibri"/>
        <family val="2"/>
      </rPr>
      <t>8) NDA signed with employees and third parties                                                                             .</t>
    </r>
    <r>
      <rPr>
        <sz val="11"/>
        <color theme="1"/>
        <rFont val="Calibri"/>
        <family val="2"/>
        <scheme val="minor"/>
      </rPr>
      <t xml:space="preserve">
</t>
    </r>
    <r>
      <rPr>
        <b/>
        <i/>
        <sz val="12"/>
        <rFont val="Calibri"/>
        <family val="2"/>
      </rPr>
      <t>Current Controls in Progress</t>
    </r>
    <r>
      <rPr>
        <sz val="11"/>
        <color theme="1"/>
        <rFont val="Calibri"/>
        <family val="2"/>
        <scheme val="minor"/>
      </rPr>
      <t xml:space="preserve">
</t>
    </r>
    <r>
      <rPr>
        <sz val="11"/>
        <rFont val="Calibri"/>
        <family val="2"/>
      </rPr>
      <t xml:space="preserve">1) Facing challenges with the MAC machines and working on workaround solution </t>
    </r>
    <r>
      <rPr>
        <sz val="11"/>
        <color theme="1"/>
        <rFont val="Calibri"/>
        <family val="2"/>
        <scheme val="minor"/>
      </rPr>
      <t xml:space="preserve">
</t>
    </r>
    <r>
      <rPr>
        <sz val="11"/>
        <rFont val="Calibri"/>
        <family val="2"/>
      </rPr>
      <t>2) Enrolling other branch (Jeddah and Khobar) user machines in DLP and DC</t>
    </r>
    <r>
      <rPr>
        <sz val="11"/>
        <color theme="1"/>
        <rFont val="Calibri"/>
        <family val="2"/>
        <scheme val="minor"/>
      </rPr>
      <t xml:space="preserve">
</t>
    </r>
    <r>
      <rPr>
        <sz val="11"/>
        <rFont val="Calibri"/>
        <family val="2"/>
      </rPr>
      <t>3) Enrolling User machines in Proxy is in Progress</t>
    </r>
    <r>
      <rPr>
        <sz val="11"/>
        <color theme="1"/>
        <rFont val="Calibri"/>
        <family val="2"/>
        <scheme val="minor"/>
      </rPr>
      <t xml:space="preserve">
</t>
    </r>
    <r>
      <rPr>
        <b/>
        <i/>
        <sz val="12"/>
        <rFont val="Calibri"/>
        <family val="2"/>
      </rPr>
      <t>Next Action Plan</t>
    </r>
    <r>
      <rPr>
        <sz val="11"/>
        <color theme="1"/>
        <rFont val="Calibri"/>
        <family val="2"/>
        <scheme val="minor"/>
      </rPr>
      <t xml:space="preserve">
</t>
    </r>
    <r>
      <rPr>
        <sz val="11"/>
        <rFont val="Calibri"/>
        <family val="2"/>
      </rPr>
      <t xml:space="preserve">1) Will implement Email Security </t>
    </r>
    <r>
      <rPr>
        <sz val="11"/>
        <color theme="1"/>
        <rFont val="Calibri"/>
        <family val="2"/>
        <scheme val="minor"/>
      </rPr>
      <t xml:space="preserve">
</t>
    </r>
    <r>
      <rPr>
        <sz val="11"/>
        <rFont val="Calibri"/>
        <family val="2"/>
      </rPr>
      <t>2) Will Enable DLP policy in block mode to control the data leak from Email, Network and Web.</t>
    </r>
  </si>
  <si>
    <t>Web Application Firewall: Cloudflare WAF is implemented to filter and secure web traffic. In addition to DDOS protection service</t>
  </si>
  <si>
    <t xml:space="preserve">Implemented EDR (Kaspersky) Solution and enrolled all end user machines and Servers. </t>
  </si>
  <si>
    <r>
      <t xml:space="preserve">Network Segmentation: Network is segmented to enhance security and isolate sensitive systems.
SSL Encryption: SSL encryption is utilised to protect data in transit.
</t>
    </r>
    <r>
      <rPr>
        <sz val="9.5"/>
        <rFont val="Arial"/>
        <family val="2"/>
      </rPr>
      <t xml:space="preserve">Implemented NAC Solution (Clear Pass) to authenticate end user machines to connect to corporate network                                                </t>
    </r>
    <r>
      <rPr>
        <sz val="9.5"/>
        <color rgb="FFFF0000"/>
        <rFont val="Arial"/>
        <family val="2"/>
      </rPr>
      <t xml:space="preserve">       </t>
    </r>
    <r>
      <rPr>
        <sz val="9.5"/>
        <rFont val="Arial"/>
        <family val="2"/>
      </rPr>
      <t xml:space="preserve">                                                                                                                   </t>
    </r>
  </si>
  <si>
    <r>
      <t xml:space="preserve">1) Implemented Phishing simulation tool (PhishRod).
2) Completed phishing simulation exercise once and going to perform periodically.
3) Completed user awareness trainings 
4) Email filtering is in place to prevent spam and phishing type of emails
</t>
    </r>
    <r>
      <rPr>
        <b/>
        <i/>
        <sz val="12"/>
        <rFont val="Calibri"/>
        <family val="2"/>
      </rPr>
      <t>Actions Items</t>
    </r>
    <r>
      <rPr>
        <sz val="11"/>
        <color theme="1"/>
        <rFont val="Calibri"/>
        <family val="2"/>
        <scheme val="minor"/>
      </rPr>
      <t xml:space="preserve">
</t>
    </r>
    <r>
      <rPr>
        <sz val="11"/>
        <rFont val="Calibri"/>
        <family val="2"/>
      </rPr>
      <t>Will implement Email Security and Sandbox solutions</t>
    </r>
  </si>
  <si>
    <t xml:space="preserve">Anti-Virus Maintenance: Antivirus software is regularly updated, and users are advised to avoid malicious links.
Backups: Up-to-date backups are maintained and stored separately from the primary environment. </t>
  </si>
  <si>
    <t>Privileged Access Management: PAM (PAM360) is implemented for administrator accounts to secure privileged access
Password policy is implemented to counter this risk with complex passwords
Account lookout enabled after 5 bad passwords</t>
  </si>
  <si>
    <t>Pentesting: Regular pentetsing is done to minize this risk
Conduct periodic Vulnerability Assessment and Penetration Testing (VAPT) activities to identify and mitigate vulnerabilities.
WAF: cloudflare WAF is implemented to prevent web attacks such as XSS</t>
  </si>
  <si>
    <t>Encryption: Bitlocker endpoint encryption is in place to secure sensitive data.
Proxy Filtering: Proxy-based filtering using Forcepoint is implemented to control internet access.
Defense on depth: We have multple controls to defend against zero days including network segmentation, WAF, EDR, Backup... etc</t>
  </si>
  <si>
    <t>Pentesting: Regular pentetsing is done to minize this risk
Conduct periodic Vulnerability Assessment and Penetration Testing (VAPT) activities to identify and mitigate vulnerabilities.
WAF: cloudflare WAF is implemented to prevent web attacks such as SQL injection</t>
  </si>
  <si>
    <t xml:space="preserve">1) Implemented Phishing simulation tool (PhishRod).
2) Completed phishing simulation exercise once and going to perform periodically.
3) Completed user awareness trainings </t>
  </si>
  <si>
    <t>SOC and IR Management: A vendor contract is established for SOC operations, incident response, and threat management.
Incident SLAs: SLAs are established to ensure critical incidents are addressed immediately.</t>
  </si>
  <si>
    <t>Risk Assessments: Regular due diligence and risk assessments are conducted.
Secure VPN: FortiClient secure VPN is implemented for remote access. Restrictions are based on user in AD.
NDA is also signed by the third party</t>
  </si>
  <si>
    <t>Whistlisted applications/Web filtering for business need only</t>
  </si>
  <si>
    <t>We have the Kaspersky AV with EDR capabilities and integrated with SIEM for visibility of malicious activity including APT</t>
  </si>
  <si>
    <t>VAPT and Pentesting are being conducted on periodic basis
Cybersecurity hardening controls that define the baseline configurations required across operating systems, firewalls, file sharing services, and network devices to ensure a secure and compliant infrastructure</t>
  </si>
  <si>
    <t>Privileged Access Management: PAM (PAM360) is implemented for administrator accounts to secure privileged access.
Implementation of ClearPass access control policies to enforce single-session login per user account, preventing multiple concurrent connections and enhancing network security
Two-factor authentication (2FA) has been enforced on all VPN access points to eliminate shared credentials and enhance overall access security</t>
  </si>
  <si>
    <t>Log Reviews: A third-party vendor reviews logs through the SIEM solution (Splunk).</t>
  </si>
  <si>
    <t>Redteaming assessment is in progress</t>
  </si>
  <si>
    <t>Asset Management: Managed Engine asset management solution is used to track assets added to the network.</t>
  </si>
  <si>
    <t>Cybersecurity Policy: A cybersecurity policy is implemented to define security measures and responsibilities.
Committee Meetings: Cybersecurity committee meetings are conducted quarterly to review and enhance security practices.</t>
  </si>
  <si>
    <t>Cyber Security Function is being built and will request budget for 2026</t>
  </si>
  <si>
    <t xml:space="preserve">Privileged Access Management (PAM) is already implemented and actively utilized in the environment. </t>
  </si>
  <si>
    <t>1) PAM Tool Configuration done
2) All assets onboarded to PAM 
3) IAM Tool configuration done 
4) 2 Applications integrated with IAM and remaining 3 applications are in progress</t>
  </si>
  <si>
    <t>AD audit solution is implemented.
Completed Access Review and shared the report with respective stakeholders to take the recommended actions</t>
  </si>
  <si>
    <t>Account lockout is implemented</t>
  </si>
  <si>
    <t>* Authorization matrix documents roles and responsibilities, ensuring that no single individual has excessive control over sensitive operations.</t>
  </si>
  <si>
    <t>The company implemened a solution to perform security code analysis (solar cube) with every change in software.</t>
  </si>
  <si>
    <t>The firewal is updated to a matured release without known vulnerabilities (Version 7.4.8 build2795)</t>
  </si>
  <si>
    <t>DLP Implementation: DLP implementation is currently underway
NDA signed with employees and third parties</t>
  </si>
  <si>
    <t>Patch management has been implemented using ManageEngine Endpoint Central, enabling the automated deployment of updates to all endpoints to ensure systems remain secure and up to date</t>
  </si>
  <si>
    <t>Risk Assessment: Initial risk assessment is done and it will be conducted on regular basis.</t>
  </si>
  <si>
    <t>MDM implementation:Utilizing ManageEngine Endpoint Central for Mobile Device Management (MDM) to enforce security policies, manage devices remotely, and maintain compliance across all mobile endpoints</t>
  </si>
  <si>
    <t>Some servers were integrated.</t>
  </si>
  <si>
    <t>MFA enabled but not for all due to lack of licenses</t>
  </si>
  <si>
    <t xml:space="preserve">VPN is active for some remote users </t>
  </si>
  <si>
    <t>Enterprise Risk Register</t>
  </si>
  <si>
    <t>IF(OR(I8="",J8=""),"",IF(K8*L8&gt;=20,"Very High",IF(AND(K8*L8&lt;20,K8*L8&gt;=11),"High",IF(AND(K8*L8&lt;11,K8*L8&gt;=6),"Medium",IF(AND(K8*L8&lt;6,K8*L8&gt;=3),"Low",IF(AND(K8*L8&lt;3,K8*L8&gt;=1),"Very Low",""))))))</t>
  </si>
  <si>
    <t>IF(OR(G8="",H8=""),"",IF(I8*J8&gt;=20,"Very High",IF(AND(I8*J8&lt;20,I8*J8&gt;=11),"High",IF(AND(I8*J8&lt;11,I8*J8&gt;=6),"Medium",IF(AND(I8*J8&lt;6,I8*J8&gt;=3),"Low",IF(AND(I8*J8&lt;3,I8*J8&gt;=1),"Very Low",""))))))</t>
  </si>
  <si>
    <t>Absence of AML Business Risk Assessment (BRA)</t>
  </si>
  <si>
    <t>There is a risk that Foodics Pay may not adequately identify and manage money laundering and terrorist financing risks across its customers, products, services, delivery channels, and geographies, as a formal AML Business Risk Assessment has not yet been developed and approved, potentially impacting the effective application of a risk-based approach and regulatory compliance.</t>
  </si>
  <si>
    <t>Department Responses</t>
  </si>
  <si>
    <t>Compliance checklist is still currently being developed</t>
  </si>
  <si>
    <t>Cicular Tracker is still ongoing which will be completed by the end of the year after all regulatory for this year has been received</t>
  </si>
  <si>
    <t>Compliance findings and key regulatory matters were presented to the Audit Committee through the Quarterly Compliance Report and discussed during the committee meeting</t>
  </si>
  <si>
    <t>The Compliance Risk Assessment exercise involving all departments is currently under development.</t>
  </si>
  <si>
    <t>Existing controls have been identified; however, a formal review and documentation of preventive, detective, and corrective controls has not yet been finalized</t>
  </si>
  <si>
    <t>Weekly Compliance Reports are in place, and a Quarterly Compliance Report has been developed and presented to the Audit Committee.</t>
  </si>
  <si>
    <t>Notifiable events have been defined; however, further enhancement and formal documentation are required</t>
  </si>
  <si>
    <t>Pending</t>
  </si>
  <si>
    <t>Complete</t>
  </si>
  <si>
    <t>Regulatory for 2025 are currently indexed by year, quarter, monthly and still being continued to be updated</t>
  </si>
  <si>
    <t>Compliance awareness program was developed and to be shared by HR</t>
  </si>
  <si>
    <t>Operational. Customer complaints are currently handled by the COE team.</t>
  </si>
  <si>
    <t>Completed</t>
  </si>
  <si>
    <t>Fully Automated</t>
  </si>
  <si>
    <t>In Progress</t>
  </si>
  <si>
    <t>We need to integrate with Future Work to accomplish this. No Timeline still.</t>
  </si>
  <si>
    <t>Partially Completed</t>
  </si>
  <si>
    <t>Product team will include this in EKYC process soon.</t>
  </si>
  <si>
    <t>NA</t>
  </si>
  <si>
    <t>We shouldn't notify our merchants about payments delays. Proactive delay notifications create unnecessary concern and damage trust. Our focus should be on fixing the issue in the background and shielding merchants from operational noise, not surfacing it</t>
  </si>
  <si>
    <t>Recording in KRIs sheet</t>
  </si>
  <si>
    <t>We will complete this along with other changes in policy in Q1 2026</t>
  </si>
  <si>
    <t>Finance team is working on dashboard and there is an integration with Sticth in place to address these issues</t>
  </si>
  <si>
    <t>This is aligned already</t>
  </si>
  <si>
    <t xml:space="preserve">Completed </t>
  </si>
  <si>
    <t>-</t>
  </si>
  <si>
    <t xml:space="preserve">Abu Obadia has been providing Support continuously </t>
  </si>
  <si>
    <t>Currently, OCI certificate validity is captured and mointoring done for all the Expired Certficate for renewal</t>
  </si>
  <si>
    <t xml:space="preserve">Defaul administrator accounts disabled.Laps admin via GPO enforeced for users for cnetralized local admin account which has a complex password and stored on AD vault. </t>
  </si>
  <si>
    <t>Implementing all CyberSecurity according to Framework</t>
  </si>
  <si>
    <t>3 way matching</t>
  </si>
  <si>
    <t>Asset tracking process between IT and Admin and Finance</t>
  </si>
  <si>
    <t xml:space="preserve">Assets are not allowed ot leave the building, and personal assets like laptops are in the emplyees custody </t>
  </si>
  <si>
    <t>The depreciation is automated process, reviewd by finance team</t>
  </si>
  <si>
    <t>System do not allow entries in locked periods</t>
  </si>
  <si>
    <t xml:space="preserve">the risk is a bit very genreal </t>
  </si>
  <si>
    <t xml:space="preserve">This is reviewed monthly </t>
  </si>
  <si>
    <t>reguler meetings</t>
  </si>
  <si>
    <t>Payments go through approval matrix of makre, checker, releaser</t>
  </si>
  <si>
    <t>KYCs</t>
  </si>
  <si>
    <t>monitering the balances, This is more Ops than finance</t>
  </si>
  <si>
    <t xml:space="preserve">all transactions reviewd on monthly closing </t>
  </si>
  <si>
    <t>Completed and updated timely</t>
  </si>
  <si>
    <t>HR-001</t>
  </si>
  <si>
    <t>HR-002</t>
  </si>
  <si>
    <t>HR-003</t>
  </si>
  <si>
    <t>HR-004</t>
  </si>
  <si>
    <t>HR-005</t>
  </si>
  <si>
    <t>HR-006</t>
  </si>
  <si>
    <t>HR-007</t>
  </si>
  <si>
    <t>HR-008</t>
  </si>
  <si>
    <t>HR-009</t>
  </si>
  <si>
    <t>HR-010</t>
  </si>
  <si>
    <t>HR-011</t>
  </si>
  <si>
    <t>HR-012</t>
  </si>
  <si>
    <t>HR-013</t>
  </si>
  <si>
    <t>HR-014</t>
  </si>
  <si>
    <t>HR-015</t>
  </si>
  <si>
    <t>HR-016</t>
  </si>
  <si>
    <t>HR-017</t>
  </si>
  <si>
    <t>HR-018</t>
  </si>
  <si>
    <t>HR-019</t>
  </si>
  <si>
    <t>HR-020</t>
  </si>
  <si>
    <t>HR-021</t>
  </si>
  <si>
    <t>HR-022</t>
  </si>
  <si>
    <t>HR-023</t>
  </si>
  <si>
    <t>HR-024</t>
  </si>
  <si>
    <t>HR-025</t>
  </si>
  <si>
    <t>HR-026</t>
  </si>
  <si>
    <t>HR-027</t>
  </si>
  <si>
    <t>HR-028</t>
  </si>
  <si>
    <t>Inadequate Workforce Planning &amp; Resource Capacity</t>
  </si>
  <si>
    <t>Delayed Recruitment for Critical Roles</t>
  </si>
  <si>
    <t>Background Screening &amp; Verification Gaps</t>
  </si>
  <si>
    <t>Poor Onboarding &amp; Role Clarity</t>
  </si>
  <si>
    <t>Insufficient Training &amp; Competency Management</t>
  </si>
  <si>
    <t>Employee Misconduct &amp; Ethical Violations</t>
  </si>
  <si>
    <t>Conflict of Interest (COI) Not Declared</t>
  </si>
  <si>
    <t>Payroll Processing Errors</t>
  </si>
  <si>
    <t>Unauthorized Changes to Employee Master Data</t>
  </si>
  <si>
    <t>Leave &amp; Attendance Manipulation</t>
  </si>
  <si>
    <t>Weak Performance Management Process</t>
  </si>
  <si>
    <t>High Employee Turnover / Retention Risk</t>
  </si>
  <si>
    <t>Inadequate Segregation of Duties in HR &amp; Payroll</t>
  </si>
  <si>
    <t>Weak Employee Offboarding &amp; Access Revocation</t>
  </si>
  <si>
    <t>HR Data Privacy &amp; PDPL Non-Compliance</t>
  </si>
  <si>
    <t>Ineffective HR Policy Governance &amp; Updates</t>
  </si>
  <si>
    <t>Non-Compliance with Saudization / Local Labor Requirements (if applicable)</t>
  </si>
  <si>
    <t>Poor Employee Grievance Handling</t>
  </si>
  <si>
    <t>Employee Records Inaccuracy Risk</t>
  </si>
  <si>
    <t>Delayed Onboarding Readiness Risk</t>
  </si>
  <si>
    <t>Offboarding Execution Failure Risk</t>
  </si>
  <si>
    <t>HR Request Handling &amp; Service Delay Risk</t>
  </si>
  <si>
    <t>Payroll Support Coordination Risk (HR–Finance Dependency)</t>
  </si>
  <si>
    <t>Leave Administration &amp; Balance Mismanagement Risk</t>
  </si>
  <si>
    <t>HR System Dependency</t>
  </si>
  <si>
    <t>Unauthorized Salary / Benefits Adjustments Risk</t>
  </si>
  <si>
    <t>Probation &amp; Confirmation Process Failure Risk</t>
  </si>
  <si>
    <t>Inconsistent HR Policy Application Risk</t>
  </si>
  <si>
    <t>HR Department</t>
  </si>
  <si>
    <t>HR Operations</t>
  </si>
  <si>
    <t>Failure to properly forecast hiring needs and workforce capacity may result in understaffing or overstaffing, impacting business delivery, operational stability, and regulatory readiness.</t>
  </si>
  <si>
    <t>Delays in hiring critical positions may lead to weak segregation of duties, control gaps, non-compliance with regulatory expectations, and disruption of operations.</t>
  </si>
  <si>
    <t>Inadequate employee screening may result in hiring unqualified or high-risk individuals, increasing fraud, misconduct, data leakage, or regulatory breach risk.</t>
  </si>
  <si>
    <t>Weak onboarding may result in unclear responsibilities, poor process understanding, reduced productivity, and higher operational errors.</t>
  </si>
  <si>
    <t>Lack of structured training may lead to operational mistakes, policy breaches, and insufficient awareness of regulatory and internal control requirements.</t>
  </si>
  <si>
    <t>Employees may engage in unethical behavior, policy violations, harassment, abuse of authority, conflict of interest, or fraud, impacting the organization’s culture and reputation.</t>
  </si>
  <si>
    <t>Employees may influence hiring, promotions, procurement, or approvals for personal benefit.</t>
  </si>
  <si>
    <t>Payroll mistakes (overpayments, underpayments, wrongful deductions) may cause employee dissatisfaction, financial loss, and legal disputes.</t>
  </si>
  <si>
    <t>Unauthorized changes in HR systems (salary, position, bank details, leave balance) may lead to fraud, data errors, and financial leakage.</t>
  </si>
  <si>
    <t>Improper leave/attendance practices may result in payroll misuse, operational disruption, and HR disputes.</t>
  </si>
  <si>
    <t>If performance appraisals are inconsistent or undocumented, it may lead to demotivation, unfair evaluation, productivity loss, and legal challenges.</t>
  </si>
  <si>
    <t>High turnover may result in loss of knowledge, disruption in operations, increased cost of hiring, and delays in achieving business objectives.</t>
  </si>
  <si>
    <t>If the same person manages HR master data, payroll processing, and approvals, it may allow manipulation or fraud without detection.</t>
  </si>
  <si>
    <t>If employee access is not removed on time after resignation/termination, it may lead to data breach, unauthorized transactions, or system misuse.</t>
  </si>
  <si>
    <t>Unauthorized disclosure or poor handling of employee personal data may lead to regulatory breach, penalties, and reputational damage.</t>
  </si>
  <si>
    <t>Outdated HR policies may lead to inconsistent practices, compliance breaches, and employee disputes.</t>
  </si>
  <si>
    <t>Failure to comply with local labor requirements may result in penalties, operational restrictions, and reputational impact.</t>
  </si>
  <si>
    <t>If employee complaints are not handled fairly and timely, it may result in legal claims, reputational harm, and internal culture issues.</t>
  </si>
  <si>
    <t>Poor maintenance of employee master data (contracts, IDs, job titles, grades, benefits, bank details) may lead to incorrect payments, legal exposure, and unreliable HR reporting.</t>
  </si>
  <si>
    <t>If system access, credentials, documentation, policies briefing, and equipment allocation are delayed, employees cannot perform duties timely, affecting team performance</t>
  </si>
  <si>
    <t>Ineffective offboarding may result in unauthorized access, asset loss, and data exposure.</t>
  </si>
  <si>
    <t>Delays in responding to employee HR requests may lead to dissatisfaction and operational inefficiencies.</t>
  </si>
  <si>
    <t>HR-provided inputs (new joiners, resignations, salary changes, allowances) may be incomplete or late, causing payroll errors or wrong payments.</t>
  </si>
  <si>
    <t>Errors in leave approvals, manual adjustments, or incorrect entitlements may affect payroll, productivity, and fairness in employee treatment.</t>
  </si>
  <si>
    <t>If HR systems or tools are unavailable, slow, or not properly configured, HR operations may revert to manual processing, increasing errors and delays</t>
  </si>
  <si>
    <t>Unauthorized compensation changes may cause financial loss and fairness issues.</t>
  </si>
  <si>
    <t>If probation evaluations are not conducted timely and formally documented, employee performance decisions may become unclear and inconsistent.</t>
  </si>
  <si>
    <t>If HR policies are not applied uniformly across teams, it may create discrimination, favoritism concerns, and reputational risk.</t>
  </si>
  <si>
    <t>We currently operate an integrated strategic workforce planning framework that links hiring demand to business forecasts and financial budgets, with structured quarterly recalibration and scenario planning embedded into the process.</t>
  </si>
  <si>
    <t>We proactively prioritize and fast-track hiring for critical and control-related roles through workforce planning and risk-based hiring prioritization, ensuring timely coverage of key duties.</t>
  </si>
  <si>
    <t>We currently enforce a structured pre-employment screening framework, including background verification, credential checks, reference validation, and role-based compliance screening to mitigate hiring risk.</t>
  </si>
  <si>
    <t>We operate a structured onboarding framework with role-specific onboarding plans, clear responsibility mapping, and mandatory policy and process induction to ensure clarity, compliance, and faster productivity.</t>
  </si>
  <si>
    <t>We enforce a comprehensive Code of Conduct framework supported by ethics policies, conflict-of-interest declarations, awareness training, and confidential reporting channels to deter and address misconduct.</t>
  </si>
  <si>
    <t>We operate controlled payroll processes with system validations, segregation of duties, approval workflows, and periodic reconciliations to ensure accurate and compliant payroll execution.</t>
  </si>
  <si>
    <t>We implement a structured performance management framework with standardized appraisal cycles, documented evaluations, calibration reviews, and objective KPI alignment to ensure fairness and consistency.</t>
  </si>
  <si>
    <t>We actively manage retention through workforce analytics, engagement initiatives, competitive rewards, career development frameworks, and proactive succession planning for critical roles.</t>
  </si>
  <si>
    <t>We enforce segregation of duties across HR master data management, payroll processing, and approval workflows, supported by system access controls and role-based authorization.</t>
  </si>
  <si>
    <t>We enforce strict employee data privacy and protection controls, including role-based access, confidentiality policies, secure data handling protocols, and compliance with applicable data protection regulations.</t>
  </si>
  <si>
    <t>We maintain a structured labor compliance framework aligned with local labor laws, regulatory requirements, and internal policies, supported by regular legal reviews and HR policy updates.</t>
  </si>
  <si>
    <t>We operate a formal grievance management framework with confidential reporting channels, defined investigation protocols, and impartial case handling to ensure fair and timely resolution.</t>
  </si>
  <si>
    <t>We maintain controlled employee master data governance with standardized data ownership, system validations, change approvals, and documented update procedures to ensure data accuracy and integrity.</t>
  </si>
  <si>
    <t>We implement a structured offboarding framework covering access deactivation, asset recovery, knowledge handover, and formal clearance workflows to ensure secure and compliant employee exits.</t>
  </si>
  <si>
    <t>We operate a structured HR service delivery model with defined SLAs, ticketing workflows, and clear ownership to ensure timely and consistent handling of employee requests.</t>
  </si>
  <si>
    <t>We enforce controlled HR-to-payroll input processes with standardized cut-off timelines, approval workflows, and system validations to ensure completeness and accuracy of payroll data.</t>
  </si>
  <si>
    <t>We manage leave administration through automated HR systems with defined approval hierarchies, entitlement controls, and policy-driven validations to ensure accuracy and fairness.</t>
  </si>
  <si>
    <t>We maintain robust HR systems governance with defined system configurations, access controls, uptime monitoring, and IT-supported continuity plans to ensure reliable HR operations.</t>
  </si>
  <si>
    <t>We enforce controlled compensation governance with defined approval matrices, system-based access restrictions, and documented change justifications to prevent unauthorized salary adjustments.</t>
  </si>
  <si>
    <t>We implement a structured probation management process with defined review timelines, formal evaluation templates, and documented performance outcomes to ensure consistent decision-making.</t>
  </si>
  <si>
    <t>We enforce standardized HR policies and governance frameworks with centralized interpretation, manager guidance, and approval controls to ensure consistent application across all teams.</t>
  </si>
  <si>
    <t>Personal information including CR number, phone number and National ID are validated via third party servies like wathiq, yakeen and absher
2) Enhance data validation by ensuring customer information is verified through available third-party services during onboarding  with clear checks before account activation
3-Define key fields to be verified (e.g., CR number, National ID, mobile number)
4-Perform validation through available third-party services (e.g., Wathiq, Yakeen, Absher) during onboarding
5-Ensure validation is completed before activating the customer account
6-Follow up on any incomplete or failed validation before proceeding.
Keep basic records of validation results for reference</t>
  </si>
  <si>
    <t>Strengthen E-KYC controls by ensuring mandatory non-bypassable identity verification during onboarding using approved third-party sources with defined renewal and data update mechanisms</t>
  </si>
  <si>
    <t>1-Implement mandatory E-KYC verification for all customers during onboarding using approved platforms (e.g., Elm, Wathiq)
2-Ensure E-KYC is a non-bypassable step prior to account activation
3-Define E-KYC validity periods and implement automated renewal processes
4-Ensure timely update of customer information upon E-KYC expiry or trigger events
5-Monitor E-KYC completion rates and address any system or integration gaps</t>
  </si>
  <si>
    <t>PR-001</t>
  </si>
  <si>
    <t>Procurement Process Circumvention Risk</t>
  </si>
  <si>
    <t>PR-002</t>
  </si>
  <si>
    <t>Supplier Dependency Risk</t>
  </si>
  <si>
    <t>PR-005</t>
  </si>
  <si>
    <t>Procurement Ethics &amp; Conflict of Interest Risk</t>
  </si>
  <si>
    <t>PR-006</t>
  </si>
  <si>
    <t>Vendor Onboarding Risk</t>
  </si>
  <si>
    <t>PR-007</t>
  </si>
  <si>
    <t>Contractual Exposure Risk</t>
  </si>
  <si>
    <t>PR-008</t>
  </si>
  <si>
    <t>Fraudulent Procurement Risk</t>
  </si>
  <si>
    <t>PR-009</t>
  </si>
  <si>
    <t>Uncontrolled Procurement Spend Risk/Budget Overrun Risk</t>
  </si>
  <si>
    <t>PR-010</t>
  </si>
  <si>
    <t>Inadequate Record Retention Risk</t>
  </si>
  <si>
    <t>PR-011</t>
  </si>
  <si>
    <t>PR-012</t>
  </si>
  <si>
    <t>PR-013</t>
  </si>
  <si>
    <t>PR-014</t>
  </si>
  <si>
    <t>PR-015</t>
  </si>
  <si>
    <t>Collusive Bidding Risk</t>
  </si>
  <si>
    <t>PR-016</t>
  </si>
  <si>
    <t>PR-017</t>
  </si>
  <si>
    <t>Unethical Vendor Risk</t>
  </si>
  <si>
    <t>PR-018</t>
  </si>
  <si>
    <t>Emergency Procurement Misuse Risk</t>
  </si>
  <si>
    <t>Vendor Payment Diversion Risk</t>
  </si>
  <si>
    <t>Procurement Policy Review &amp; Update Risk</t>
  </si>
  <si>
    <t>Independent Commercial Evaluation Risk</t>
  </si>
  <si>
    <t>Weak Vendor Pre-Qualification and Assessment Risk</t>
  </si>
  <si>
    <t>Lack of Centralized Approved Vendor List (AVL) Risk</t>
  </si>
  <si>
    <t>Procurement Department</t>
  </si>
  <si>
    <t>Risk that purchases are made outside approved procurement process or authority matrix. Departments may bypass Procurement by splitting POs, direct assignments without justification, or emergency purchases without documentation, leading to weak controls, favoritism, or fraud.</t>
  </si>
  <si>
    <t>Risk of over-reliance on a single supplier for critical services.Single-source vendor (especially IT, payment processing, cloud, fraud systems) could disrupt operations if service fails or contract terminates.</t>
  </si>
  <si>
    <t>Risk of biased vendor selection due to personal interest.Employees may influence evaluation in favor of known suppliers.</t>
  </si>
  <si>
    <t>Risk of engaging financially unstable, sanctioned, or non-compliant vendors. Failure in supplier pre-qualification may expose Foodics to AML, sanctions, operational failure risk.</t>
  </si>
  <si>
    <t>Risk that contracts lack termination, liability, confidentiality, or audit rights clauses. Insufficient contractual protection can expose Foodics Pay to financial or legal disputes.</t>
  </si>
  <si>
    <t>Risk of collusion, inflated pricing, kickbacks, or fictitious vendors. Procurement fraud may occur via fake quotations, manipulated evaluation, or related-party suppliers.</t>
  </si>
  <si>
    <t>Risk of exceeding approved budgets or unauthorized financial commitments. Procurement outside approved budget or multi-year commitments without CFO approval.</t>
  </si>
  <si>
    <t>Risk of failing to retain procurement records required for regulatory review. Insufficient documentation may expose Foodics during SAMA inspection.</t>
  </si>
  <si>
    <t>Risk that suppliers collude to manipulate pricing. Vendors may coordinate pricing to appear competitive while maintaining inflated margins.</t>
  </si>
  <si>
    <t>Risk of associating with vendors involved in corruption, sanctions, labor violations. May expose Foodics Pay to reputational damage and regulatory scrutiny.</t>
  </si>
  <si>
    <t>Risk that urgency clause is misused to bypass competitive bidding. Frequent emergency procurement may indicate control weakness or favoritism.</t>
  </si>
  <si>
    <t>Risk of fraudulent bank detail changes by suppliers.Email compromise or invoice manipulation can redirect payments.</t>
  </si>
  <si>
    <t>Risk that the Procurement Policy is not reviewed, updated, and approved annually or upon regulatory changes. If the Procurement Policy is not reviewed periodically (at least annually) or updated in response to regulatory changes (e.g., SAMA Outsourcing Rules, Cybersecurity Framework updates, PSP Implementing Regulations), it may: Become outdated or misaligned with SAMA expectations,Omit new regulatory requirements (e.g., material outsourcing approvals),Fail to reflect organizational changes,Expose Foodics Pay to regulatory findings</t>
  </si>
  <si>
    <t>Risk that commercial evaluation of vendor proposals is not independently performed by the Procurement function. If commercial proposals (pricing, payment terms, cost breakdown, commercial conditions) are evaluated by the requesting department instead of Procurement:
1) There is increased risk of pricing bias
2) Cost benchmarking may not be properly conducted
3) Negotiation leverage may be weakened
4) Financial risks may not be identified
5) Risk of favoritism or conflict of interest increases
6) Commercial scoring integrity in JER may be compromised</t>
  </si>
  <si>
    <t xml:space="preserve">There is a risk that, in the absence of a structured pre-qualification process, vendors may be onboarded without adequate assessment of their financial, technical, and compliance capabilities. This may result in selection of incapable or non-compliant vendors, leading to operational disruptions and regulatory exposure.
</t>
  </si>
  <si>
    <t xml:space="preserve">If a centralised vendor list is not maintained, there is a risk of engaging unverified or duplicate vendors. Additionally, outdated vendor information (e.g., expired licenses or financials) may result in onboarding non-compliant vendors, increasing regulatory and operational risks.
</t>
  </si>
  <si>
    <t>1- Approval Matrix of Purchases is implemented
2- Splitting Purchase orders is not allowed for the same projects or requirements.
3- Proper Segregation of Duties are in place</t>
  </si>
  <si>
    <t>Always keep exploring for another acceptable option that would satisfy the need</t>
  </si>
  <si>
    <t xml:space="preserve">All employees should sign a declaration committing to avoid such cases. </t>
  </si>
  <si>
    <t>Most of our contracts include the termination right, however some contracts for example do not include them as the Supplier does not accept them. Such terms are reviewed and approved by the Legal team before being signed</t>
  </si>
  <si>
    <t>Compare the pricing with older pricing
Compare the pricing with other offers
Compare the pricing with similar scope
Check how was the budget assigned for such a purchase</t>
  </si>
  <si>
    <t>Purchase Orders and/or Agreements require the approval of the Budget team before being approved so they can check such terms</t>
  </si>
  <si>
    <t>All the relevant documents, RFP, RFQ, BIDS,Evaluations, proposals, contracts, invoices, AML Screening records, vendor due diligence, maintained all records in a centralized system, Approval memo. Introduce Procurement checklist that must be completed before final onboarding fore.g: Vendor Quotation, Technical and Financial Evaluation, Approval, Mmeo, Contract/PO, Vendor screening and any other document relevant.Retention period is 3 years). I do suggest to have an archiving system for Foodics Pay where Supply Chain can use the system to archive the file, but the period should be specific</t>
  </si>
  <si>
    <t>Keep always an eye where applicable to understand the pricing mechanism, if we feel that this might happen then a flag should be raised to the management</t>
  </si>
  <si>
    <t>If such a case (Emergecny) is being reached due to negligence then an investigation should be initiated. However usually there is a benchmark of pricing and delivery time for such purchases</t>
  </si>
  <si>
    <t>We have a pre-qualification form, we perform perform initial vendor evaluation before selection.</t>
  </si>
  <si>
    <t xml:space="preserve"> We are having suppliers identified in Oracle as we are issuing Purchase Orders. 
CR and VAT are being obtained from Suppliers before creating the supplier on the system</t>
  </si>
  <si>
    <t>Finance</t>
  </si>
  <si>
    <t>System &amp; Process</t>
  </si>
  <si>
    <t>Completed status given on 02-Apr-26</t>
  </si>
  <si>
    <t>Q3-2026</t>
  </si>
  <si>
    <t>Q2-2026</t>
  </si>
  <si>
    <t>Partially Implemented, Breach response SOP drafted</t>
  </si>
  <si>
    <t>Partially Implemented, Compliance Monitoring Drafted</t>
  </si>
  <si>
    <t>Partially Implemented, COE handles complaints with Compliance oversight for regulatory matters. Templates are in place, with SLAs and classification currently being formalized</t>
  </si>
  <si>
    <t>Partially Implemented, Incident Management Response SOP Drafted</t>
  </si>
  <si>
    <t>Anti Money Laundering</t>
  </si>
  <si>
    <t>A&amp;F - 036</t>
  </si>
  <si>
    <t>A&amp;F - 037</t>
  </si>
  <si>
    <t>A&amp;F - 038</t>
  </si>
  <si>
    <t>A&amp;F - 039</t>
  </si>
  <si>
    <t>A&amp;F - 040</t>
  </si>
  <si>
    <t>A&amp;F - 041</t>
  </si>
  <si>
    <t>A&amp;F - 042</t>
  </si>
  <si>
    <t>Capital Adequacy Risk</t>
  </si>
  <si>
    <t>Funding &amp; Liquidity Support Risk</t>
  </si>
  <si>
    <t>Growth-Related Capital Strain Risk</t>
  </si>
  <si>
    <t>Stress Scenario Capital Risk</t>
  </si>
  <si>
    <t>Regulatory Capital Breach Risk</t>
  </si>
  <si>
    <t>Finance Policy Governance Risk</t>
  </si>
  <si>
    <t>Finance Procedures &amp; Manual Risk</t>
  </si>
  <si>
    <t xml:space="preserve">Capital Management Policy </t>
  </si>
  <si>
    <t>Head of Accounting &amp; Finance/ Regulatory Affairs</t>
  </si>
  <si>
    <t>Risk that the company fails to maintain sufficient capital to support current operations, absorb losses, and meet regulatory minimum capital requirements. It impact on Regulatory sanctions, operational restrictions, reputational damage, inability to support business activities</t>
  </si>
  <si>
    <t>Risk that sufficient funding is not available to support business operations, strategic initiatives, or unexpected financial obligations. It will potentially impact Business disruption, inability to meet obligations, delayed projects, increased financing costs</t>
  </si>
  <si>
    <t>Risk that rapid business growth, expansion of products/services, or increased transaction volumes require additional capital beyond current projections. Its impacts will be on Capital shortfall, delayed growth plans, increased regulatory scrutiny, funding pressure</t>
  </si>
  <si>
    <t>Risk that adverse economic, operational, fraud, cyber, or business scenarios significantly reduce available capital below management's target levels.</t>
  </si>
  <si>
    <t>Risk of breaching regulatory capital requirements due to losses, inaccurate calculations, reporting errors, or unexpected business events. It potentially impact on Regulatory penalties, supervisory intervention, restrictions on operations and business growth.</t>
  </si>
  <si>
    <t>Risk that Finance Policies are not documented, approved, periodically reviewed, communicated, or aligned with regulatory requirements and business operations. It impacts on Regulatory non-compliance, inconsistent financial practices, control weaknesses, audit findings.</t>
  </si>
  <si>
    <t>Risk that Finance Manuals, SOPs, and operational procedures are incomplete, outdated, inadequately documented, or not consistently followed by employees. It impacts on Processing errors, operational inefficiencies, financial reporting inaccuracies, increased operational risk.</t>
  </si>
  <si>
    <t>Risk that the Capital Management Policy is inadequate, outdated, not aligned with regulatory requirements, or does not effectively govern capital planning, monitoring, and capital adequacy management, or Business don`t have this policy. It impacts on Weak capital governance, regulatory findings, ineffective capital planning, increased risk of capital shortfalls.</t>
  </si>
  <si>
    <t>Risk Management Department is actively having their Stress Scenerios Performed in every Quarter and esclate to Risk Committee Members</t>
  </si>
  <si>
    <t>A&amp;F - 025</t>
  </si>
  <si>
    <t>Requesting Department and Procurement will provide details to AML Department and compliance to see the merchants in pre-Qualiification stage</t>
  </si>
  <si>
    <t>Continuously Monitoring with Requesting Department, and centralized inventory is also maintained by procurement for all Supplier and merchant</t>
  </si>
  <si>
    <t>The company implemened a solution to perform security code analysis (sonar cube) which overs OWASP top 10 standard</t>
  </si>
  <si>
    <t>CS-040</t>
  </si>
  <si>
    <t>CS-041</t>
  </si>
  <si>
    <t>CS-042</t>
  </si>
  <si>
    <t xml:space="preserve">Absences of firewall in OCI </t>
  </si>
  <si>
    <t>risk of generic user ID's for Firewall</t>
  </si>
  <si>
    <t>CS-047</t>
  </si>
  <si>
    <t>risk of generic user ID's for Database</t>
  </si>
  <si>
    <t xml:space="preserve">Jump Server is not in the DR </t>
  </si>
  <si>
    <t>Tech</t>
  </si>
  <si>
    <t xml:space="preserve">Ahmad Abdullah </t>
  </si>
  <si>
    <t xml:space="preserve">not having firewalls in OCI </t>
  </si>
  <si>
    <t>Having user accounts with generic ID's restricts the visibility and accountability for who logged into the firewall, which might lead to exfiltration/tampering that cannot be traced to a specific user.</t>
  </si>
  <si>
    <t>Having user accounts with generic ID's restricts the visibility and accountability for who logged into the datebase, which might lead to exfiltration/tampering that cannot be traced to a specific user.</t>
  </si>
  <si>
    <t xml:space="preserve">The jump server is only present in the production environment, and absent in the DR environment, which will affect and impact us if there is an outage or an attack on the main site, and non-compliance with network segregation and the Cybersecurity architecture framework </t>
  </si>
  <si>
    <t xml:space="preserve">Firewall is in OCI riyadh, Jeddah is being installed </t>
  </si>
  <si>
    <t xml:space="preserve">The generic user has been renamed to reflect the administrator's name </t>
  </si>
  <si>
    <t>Renaming the generic ID is not possible due to service dependency. The generic user ID can only access the database via PAM. Mapping all operational and human access is traceable to an individual user ID via PAM recordings and logs.</t>
  </si>
  <si>
    <t>Since the jump server is not in the DR, the jump server in the production environment is used to access the DR site. However, in case the production server is down, the break-glass procedure will be used to gain access the DR database/servers.</t>
  </si>
  <si>
    <t>FBP-001</t>
  </si>
  <si>
    <t>FBP-002</t>
  </si>
  <si>
    <t>FBP-003</t>
  </si>
  <si>
    <t>FBP-004</t>
  </si>
  <si>
    <t>FBP-010</t>
  </si>
  <si>
    <t>FBP-011</t>
  </si>
  <si>
    <t>FBP-012</t>
  </si>
  <si>
    <t>FBP-013</t>
  </si>
  <si>
    <t>FBP-014</t>
  </si>
  <si>
    <t>FBP-015</t>
  </si>
  <si>
    <t>FBP-016</t>
  </si>
  <si>
    <t>FBP-017</t>
  </si>
  <si>
    <t>FBP-018</t>
  </si>
  <si>
    <t>FBP-019</t>
  </si>
  <si>
    <t>FBP-020</t>
  </si>
  <si>
    <t>FBP-021</t>
  </si>
  <si>
    <t>Payment Processing</t>
  </si>
  <si>
    <t>Identity &amp; Onboarding</t>
  </si>
  <si>
    <t>FBP-05</t>
  </si>
  <si>
    <t>FBP-06</t>
  </si>
  <si>
    <t>FBP-07</t>
  </si>
  <si>
    <t>AML &amp; CFT</t>
  </si>
  <si>
    <t>FBP-08</t>
  </si>
  <si>
    <t>FBP-09</t>
  </si>
  <si>
    <t>Cybersecurity</t>
  </si>
  <si>
    <t>Internal Fraud</t>
  </si>
  <si>
    <t>Vendor &amp; Third Party</t>
  </si>
  <si>
    <t>Regulatory Compliance</t>
  </si>
  <si>
    <t>Financial Controls</t>
  </si>
  <si>
    <t>HR &amp; Governance</t>
  </si>
  <si>
    <t xml:space="preserve">CyberSecurity/ Engineering Department
</t>
  </si>
  <si>
    <t>AML/ Compliance</t>
  </si>
  <si>
    <t>Fraud Department</t>
  </si>
  <si>
    <t>Compliance</t>
  </si>
  <si>
    <t>IT Security</t>
  </si>
  <si>
    <t>Engineering</t>
  </si>
  <si>
    <t>Human Resources</t>
  </si>
  <si>
    <t>Data </t>
  </si>
  <si>
    <t>Procurement</t>
  </si>
  <si>
    <t>CyberSecurity</t>
  </si>
  <si>
    <t>Unauthorized access to customer payment accounts via credential stuffing, phishing, or SIM-swap—enabling fraudulent fund transfers and irreversible reputational damage.</t>
  </si>
  <si>
    <t>Man-in-the-Middle attacks intercepting payment API communications between Foodics Pay, merchants, and banking partners—enabling payment redirection and data theft in violation of PCI-DSS.</t>
  </si>
  <si>
    <t>Fraudsters or collusive employees exploiting the refund process to issue refunds without corresponding returns, process duplicate refunds, or redirect refunds to unauthorized accounts.</t>
  </si>
  <si>
    <t>Fraudsters creating synthetic identities combining real and fictitious information to pass KYC, open accounts, and build credit history before executing bust-out fraud—exposing Foodics Pay to SAMA AML penalties.</t>
  </si>
  <si>
    <t>Incomplete Customer Due Diligence (CDD) or Enhanced Due Diligence (EDD) gaps during onboarding—particularly for high-risk customers, PEPs, and foreign nationals—violating SAMA's AML/CFT framework.</t>
  </si>
  <si>
    <t>Criminal organizations recruiting legitimate customers to use their accounts as money mule conduits—receiving and forwarding fraudulent funds through Foodics Pay—making detection difficult and creating AML exposure.</t>
  </si>
  <si>
    <t>Failure to detect money laundering or terrorist financing typologies in payment flows due to inadequate transaction monitoring rules, outdated ML models, or excessive false-positive suppression—leading to SAMA regulatory action.</t>
  </si>
  <si>
    <t>Failure to apply enhanced monitoring to cash-intensive merchant categories (restaurants, retail, F&amp;B) commonly used for cash smurfing through Foodics Pay's point-of-sale network—a key risk given Foodics' core market segment.</t>
  </si>
  <si>
    <t>Targeted phishing, vishing, or social engineering attacks against Foodics Pay employees—particularly finance, IT, and customer service staff—to obtain credentials, authorize fraudulent transfers, or bypass security controls.</t>
  </si>
  <si>
    <t>Internal employees with privileged access to payment systems misappropriating customer funds, manipulating settlement records, or creating unauthorized transactions—particularly in finance, operations, and IT roles.</t>
  </si>
  <si>
    <t>IT administrators or database personnel with elevated system access manipulating transaction data, accessing customer payment information, or disabling security controls for personal gain or in collusion with external actors.</t>
  </si>
  <si>
    <t>Creation of fictitious employees in payroll or manipulation of salary amounts, bank account details, or headcount—resulting in unauthorized salary payments or diversion of employee salaries to fraudulent accounts.</t>
  </si>
  <si>
    <t>Employees exfiltrating sensitive customer data, proprietary algorithms, or merchant information for personal gain, to sell to competitors, or to facilitate external fraud—particularly on termination.</t>
  </si>
  <si>
    <t>Employees accepting bribes or kickbacks from vendors in exchange for preferential contract awards, inflated purchase orders, or approval of substandard services—violating SAMA's corporate governance expectations.</t>
  </si>
  <si>
    <t>Fraudulent invoices from fictitious or compromised vendors processed for payment, or legitimate vendor bank details substituted by fraudsters (BEC/Business Email Compromise)—resulting in unauthorized fund transfers.</t>
  </si>
  <si>
    <t>Unauthorized additions, modifications, or deletions to the vendor master file—creating ghost vendors, changing bank details, or removing legitimate vendors—enabling fraudulent payments to fictitious suppliers.</t>
  </si>
  <si>
    <t xml:space="preserve">Foodics Pay has not provided evidence of formal training or awareness programs related to data protection and privacy, indicating a gap in ensuring that employees are adequately trained and aware of their responsibilities for protecting personal data and complying with the PDPL </t>
  </si>
  <si>
    <t>The customer interface does not enable customers to specify or manage their consent preferences per communication channel. Customers are not provided the abolity to select, restrict, or opt out of receiving advertising or awareness materials through specific channels which is not aligned with the PDPL.</t>
  </si>
  <si>
    <t>Mesegat SMS gateway stores the OTP in plain text</t>
  </si>
  <si>
    <t>Failure to accurately reconcile payment settlements between Foodics Pay, merchants, acquirers, and banking partners—creating undetected discrepancies that could mask fraud or result in material financial misstatement.</t>
  </si>
  <si>
    <t>Failure to conduct comprehensive pre-employment background checks—including criminal record, financial history, and reference verification—resulting in hiring individuals with fraud history in sensitive payment roles.</t>
  </si>
  <si>
    <t>MFA for every sign-on, not just step-up — we mandate MFA on sign-on,. A stolen password alone shouldn’t authenticate anyone.
Account lockout after 3 invalid attempts — SAMA-mandated; combine with exponential backoff and CAPTCHA on suspicious sessions.</t>
  </si>
  <si>
    <t>Mutual TLS (mTLS) mitigates man-in-the-middle (MitM) attacks by requiring both the client and server to authenticate each other using X.509 certificates, rather than only the server proving its identity as in standard TLS.</t>
  </si>
  <si>
    <t>A controlled role access in MMS for Team lead and accounting manager has access to process Refund transactions to merchants.</t>
  </si>
  <si>
    <t>Customer onboarding includes KYC collection and verification controls through onboarding workflow including identity verification, sanctions &amp; PEP screening, and compliance review for high-risk or escalated customers prior to activation. Ongoing review and manual validation are performed for suspicious or mismatched customer information.</t>
  </si>
  <si>
    <t>Risk-based onboarding and customer review controls are in place including CDD/EDD assessment, PEP screening, geographic risk assessment, and escalation to Compliance/AML for approval of high-risk customers prior to activation. Periodic review is conducted for high-risk customers.</t>
  </si>
  <si>
    <t>Automated deployment of updated fraud scenarios and risk rules through the FOCAL system onto all new POS terminals upon onboarding, aligned with newly identified threat trends and historical merchant patterns.</t>
  </si>
  <si>
    <t>AML monitoring is conducted through transaction monitoring scenarios and manual alert review processes to identify unusual or suspicious transaction behavior. Alerts are reviewed and escalated when required based on internal investigation procedures.</t>
  </si>
  <si>
    <t>Merchants are classified based on business activity and risk level during onboarding. Transaction monitoring activities and manual reviews are performed to identify unusual transaction behavior related to high-risk or cash-intensive sectors.</t>
  </si>
  <si>
    <t xml:space="preserve"> Simulation for phishing attack, training employees on what to expect from a phishing attack or a social engineering attack, and awareness courses to provide insight on how to spot these attacks, report it, and keep the orginiazation safe 
</t>
  </si>
  <si>
    <t>Changes to customer and business information require requests from the registered official email and completion of validation procedures. Payment transactions and settlement records are system-controlled and cannot be manually created or modified by Operations personnel.</t>
  </si>
  <si>
    <t>Continuous / Real time (privileged session brokering, monitoring, and logging are always-on); Onboarding (access provisioning at joiner/role change); Periodic (access recertification reviews).</t>
  </si>
  <si>
    <t>- Kayan HRIS requires dual approval for new employee activation (People Ops prepares, authorised signatory activates).
- IBAN and bank account updates are submitted by the employee in writing with ID verification before Finance processes them.
- Salary changes are processed only upon receipt of a signed approval memo or offer letter.
- Kayan access is role-based and restricted; offboarded employees are deactivated on last working day.
- Finance performs a monthly headcount and payroll reconciliation against the HR-approved active employee list.
- People Operations runs a weekly Kayan report to monitor active headcount and flag any anomalies.</t>
  </si>
  <si>
    <t>Export access requires approval of Cybersecurity and the VP of Data. Each request is assessed individually by evaluating the business need against the associated risks before access is granted.</t>
  </si>
  <si>
    <t>Foodics employees are required to adhere to ethical standards when dealing with suppliers, including providing fair and equal treatment to all suppliers, ensuring equal opportunities for qualified suppliers to submit proposals, maintaining the confidentiality of supplier information, avoiding taking advantage of supplier errors, communicating bid rejection reasons without disclosing confidential information, and ensuring equal re-quotation opportunities when applicable.</t>
  </si>
  <si>
    <t>Validate Vendor details (CR, IBAN and VAT certificate)</t>
  </si>
  <si>
    <t>of Supply Chain verifies the requests before approving them</t>
  </si>
  <si>
    <t>Onboarding training in addition to Data Protection training assigned to all employees using the Knowbe4 platform.</t>
  </si>
  <si>
    <t>Adding consent management to the new software, target is end of June.</t>
  </si>
  <si>
    <t>Data masking procedure is now applied</t>
  </si>
  <si>
    <t>Foodics Pay Finance Policy (under review by Compliance)</t>
  </si>
  <si>
    <t>The People &amp; Culture department has an established pre-employment background check process embedded within the onboarding framework. Prior to any new hire's start date, the Talent Acquisition team completes the Employee Background Check Authorization &amp; Verification Form, which People Operations receives as part of the pre-hire stage.
The form covers the following verification areas:
Employment history verification
Education &amp; credential verification
Criminal record check (if applicable)
Reference checks
Policy compliance clearance from previous employers
Traffic violations/driving record (if relevant to the role)
Credit history (specifically for financial roles)
For roles within sensitive payment functions, the credit history check field is applicable and forms part of the assessment scope. All background check results are reviewed by HR before onboarding proceeds, with a clear status outcome (Cleared / Pending / Requires Further Review) documented and approved by the HR Manager.
The completed and signed authorization form, along with verification outcomes, is retained in the employee's official folder as part of our record-keeping policy.</t>
  </si>
  <si>
    <t>- Board-approved annual capital plan and budget.
- Capital forecasting.
- Monthly management accounts and variance analysis.
- Escalation of projected capital pressure to CFO/management.</t>
  </si>
  <si>
    <t>- Cash-flow forecast.
- Daily bank-balance monitoring.
- Monthly liquidity forecast and budget variance analysis.
- Payment approval controls.
- Management oversight of material funding requirements.</t>
  </si>
  <si>
    <t>- Annual budget and business plan incorporate growth assumptions.
- Monthly actual vs budget review.
- Approval of material spend and hiring.
- Periodic budget updates and management review of expansion initiatives.</t>
  </si>
  <si>
    <t>- Monthly regulatory capital calculation and reconciliation.
- Preparation and review of regulatory submissions.</t>
  </si>
  <si>
    <t>- Existing finance policies are maintained where available.
- Policy changes are reviewed by Finance and management.
- Management and audit observations are considered when updating controls.</t>
  </si>
  <si>
    <t>- Finance activities are performed using current working practices and system controls.
- Experienced team members review material transactions and accounting outputs.
- Audit and management findings are followed up as applicable.</t>
  </si>
  <si>
    <t>- Capital adequacy is monitored through budgeting.
- Forecasts and management reporting.
- Significant capital matters are discussed with management.</t>
  </si>
  <si>
    <t>Account Takeover (ATO)</t>
  </si>
  <si>
    <t>Payment Interception / MITM</t>
  </si>
  <si>
    <t>Refund Fraud &amp; Manipulation</t>
  </si>
  <si>
    <t>Synthetic Identity Fraud</t>
  </si>
  <si>
    <t>KYC Bypass &amp; Incomplete CDD</t>
  </si>
  <si>
    <t>Mule Account Recruitment</t>
  </si>
  <si>
    <t>Transaction Monitoring Gaps</t>
  </si>
  <si>
    <t>Cash-Intensive Business Monitoring</t>
  </si>
  <si>
    <t>Phishing &amp; Social Engineering Targeting Staff</t>
  </si>
  <si>
    <t>Employee Embezzlement &amp; Fund Misappropriation</t>
  </si>
  <si>
    <t>Privileged Access Abuse by IT Staff</t>
  </si>
  <si>
    <t>Ghost Employee &amp; Payroll Fraud</t>
  </si>
  <si>
    <t>Insider Data Theft &amp; IP Theft</t>
  </si>
  <si>
    <t>Bribery &amp; Corruption in Vendor Selection</t>
  </si>
  <si>
    <t>Vendor Invoice &amp; AP Fraud</t>
  </si>
  <si>
    <t>Master Vendor File Integrity</t>
  </si>
  <si>
    <t>Saudi PDPL Data Privacy Non-Compliance</t>
  </si>
  <si>
    <t>End of June</t>
  </si>
  <si>
    <t>Settlement &amp; Reconciliation Failures</t>
  </si>
  <si>
    <t>Inadequate Background Screening</t>
  </si>
  <si>
    <t xml:space="preserve">1.⁠ ⁠Automated change request for every production release. A governance change-request ticket is raised automatically when a release is prepared and moves through its approval stages (assessment, ready for implementation, monitor and review, closed) in step with the release. No release reaches production without an audited change record.
2.⁠ ⁠Impact assessment attached to each change request. Every change request carries the automated code-quality and coverage report for the release being assessed. The record cannot be completed with a missing or substituted assessment.
3.⁠ ⁠Mandatory independent review before merge, escalated for money-related changes. All changes require approval from designated owners. Changes affecting settlement, payments, adjustments, bank integrations or database structure additionally require director-level approval.
4.⁠ ⁠Structured ticket intake. Requirements are raised as tickets and must pass refinement, grooming and estimation before development begins.
</t>
  </si>
  <si>
    <t>PD-19</t>
  </si>
  <si>
    <t>Product Governance and Approval</t>
  </si>
  <si>
    <t>Risk that a new product, feature, service, payment journey or material enhancement is developed or launched without completing the required internal governance, risk assessment and approvals from relevant stakeholders such as Risk Management, Compliance, AML/AFC, Cybersecurity, Legal, Finance and Operations. This may arise due to unclear approval requirements, commercial pressure, accelerated implementation timelines or ineffective product governance and may result in regulatory non-compliance, unidentified operational or fraud risks, customer harm, financial loss, service disruption and reputational damage</t>
  </si>
  <si>
    <t>PD-20</t>
  </si>
  <si>
    <t>Product Requirement Management</t>
  </si>
  <si>
    <t xml:space="preserve">1.⁠ ⁠Standard requirement template. Every ticket is written to a fixed structure: objective, user story, background, acceptance criteria, QA scenarios, and explicit out-of-scope. A ticket missing acceptance criteria does not progress.
2.⁠ ⁠Refinement and grooming before development. Requirements are reviewed with engineering and estimated before a ticket enters a sprint, so ambiguity is challenged before build rather than during it
</t>
  </si>
  <si>
    <t>PD-21</t>
  </si>
  <si>
    <t>Production Release and Rollback Management</t>
  </si>
  <si>
    <t>Risk that a new product release or enhancement introduces material defects or unexpected operational issues into production without an effective mechanism to quickly rollback or restore the previous stable version. This may result from inadequate deployment planning, incomplete release approvals, ineffective coordination, insufficient rollback procedures or third-party dependencies and may lead to prolonged service disruption, transaction failures and customer impact.</t>
  </si>
  <si>
    <t>PD-22</t>
  </si>
  <si>
    <t>Product Capacity and Performance</t>
  </si>
  <si>
    <t>Risk that a new product or material system change is implemented without adequate post-production validation to confirm that transactions, fees, limits, settlement logic, interfaces and other critical functionality are operating as intended. Defects may therefore remain undetected until multiple customers or transactions are affected.</t>
  </si>
  <si>
    <t>Post-Implementation Validation</t>
  </si>
  <si>
    <t>PD-23</t>
  </si>
  <si>
    <t>Risk that Product platforms, applications, APIs or supporting components do not have sufficient capacity or performance capability to handle peak or unexpected transaction volumes. This may result in latency, transaction timeouts, failed or duplicated payment attempts, system instability and deterioration in customer experience.</t>
  </si>
  <si>
    <t>PD-24</t>
  </si>
  <si>
    <t>PD-25</t>
  </si>
  <si>
    <t>PD-26</t>
  </si>
  <si>
    <t>PD-27</t>
  </si>
  <si>
    <t>PD-28</t>
  </si>
  <si>
    <t>PD-29</t>
  </si>
  <si>
    <t>PD-30</t>
  </si>
  <si>
    <t>PD-31</t>
  </si>
  <si>
    <t>PD-32</t>
  </si>
  <si>
    <t>PD-33</t>
  </si>
  <si>
    <t>PD-34</t>
  </si>
  <si>
    <t>Regulatory Change Implementation</t>
  </si>
  <si>
    <t>Risk that new or amended SAMA requirements, regulatory instructions or internal compliance requirements affecting Product functionality are not accurately translated into Product requirements or implemented within required timelines due to ineffective communication, unclear ownership, development constraints or competing priorities.</t>
  </si>
  <si>
    <t>Customer Disclosure and Product Behaviour Mismatch</t>
  </si>
  <si>
    <t>Risk that actual Product functionality, fees, transaction limits, processing timelines or service conditions do not correspond with terms, disclosures or information communicated to customers and merchants due to ineffective coordination between Product and relevant stakeholders. This may result in customer detriment, disputes, complaints, refunds and regulatory concerns</t>
  </si>
  <si>
    <t>Fraud Risk in Product Design</t>
  </si>
  <si>
    <t>Risk that new or modified Product functionality creates fraud opportunities because potential abuse scenarios are not sufficiently considered during design and change assessment. Weaknesses may relate to authentication, transaction limits, beneficiary changes, refunds, repeated attempts or merchant misuse, potentially resulting in fraud loss and customer harm.</t>
  </si>
  <si>
    <t>Key Person Dependency</t>
  </si>
  <si>
    <t>Risk that critical Product knowledge relating to payment flows, configurations, integrations, partner relationships, incident resolution or operating procedures is concentrated with a limited number of employees. Lack of documentation, cross-training and backup arrangements may delay incident resolution, regulatory implementation or Product operations.</t>
  </si>
  <si>
    <t>Incorrect Transaction Status</t>
  </si>
  <si>
    <t>Risk that the Product platform displays or communicates an incorrect transaction status to customers, merchants or downstream systems due to synchronization failures, API delays, mapping errors or processing defects. This may result in duplicate customer actions, incorrect expectations, complaints and reconciliation discrepancies.</t>
  </si>
  <si>
    <t>Product Complaint Trend Analysis</t>
  </si>
  <si>
    <t>Risk that recurring customer or merchant complaints relating to Product functionality are addressed individually without identifying systemic Product or control weaknesses. Failure to perform trend and root-cause analysis may allow recurring defects, incorrect fees or payment failures to continue and increase customer and reputational impact</t>
  </si>
  <si>
    <t>PSP Integration Failure and Dropped Transactions</t>
  </si>
  <si>
    <t>Risk that failure, timeout, interruption or incorrect processing in the integration between Foodics Pay and a Payment Service Provider (PSP) results in transactions being dropped, lost, duplicated, incorrectly rejected or not recorded within Foodics Pay systems. This may arise from API failures, communication interruptions, incompatible message formats, processing timeouts or insufficient retry and reconciliation mechanisms. Such failures may result in customer or merchant transactions not being processed or settled correctly, reconciliation discrepancies, financial loss, customer complaints and regulatory or reputational impact.</t>
  </si>
  <si>
    <t>Remote Software / OTA Update Failure</t>
  </si>
  <si>
    <t>Risk that remote over-the-air software, operating system, firmware or application updates deployed to Foodics Pay devices fail, are incomplete, introduce defects or create incompatibility with existing applications or integrations. A defective mass deployment could simultaneously impact a large number of merchant devices, resulting in POS unavailability, transaction failures, emergency rollback, increased support volumes and merchant disruption.</t>
  </si>
  <si>
    <t>system</t>
  </si>
  <si>
    <t>POS Hardware Inventory and Availability</t>
  </si>
  <si>
    <t>Risk that adequate POS hardware is not available when required due to inaccurate demand forecasting, inventory-record errors, warehouse disruption, damaged stock, device obsolescence or unexpected merchant demand. Although Foodics maintains its own hardware stock and reduces dependency on external suppliers, insufficient inventory or ineffective stock management could delay merchant onboarding, device replacement and service restoration and may result in lost revenue or customer dissatisfaction.</t>
  </si>
  <si>
    <t>POS Device Reliability and Hardware Failure</t>
  </si>
  <si>
    <t>Risk that POS devices experience hardware defects, battery failures, connectivity problems, component malfunction, overheating or other physical failures that prevent merchants from processing transactions. A recurring device-quality issue may lead to increased replacement volumes, merchant downtime, operational support costs, customer dissatisfaction and reputational impac</t>
  </si>
  <si>
    <t>Device Installation and Configuration</t>
  </si>
  <si>
    <t>Risk that POS devices are incorrectly configured, activated or installed during merchant deployment, including incorrect merchant profile, terminal settings, network configuration, payment application setup or integration parameters. Incorrect installation may prevent the merchant from processing payments, route transactions incorrectly, create transaction or reconciliation errors and require operational remediatio</t>
  </si>
  <si>
    <t xml:space="preserve">1.⁠ ⁠Controlled release process with a documented plan. Production releases are prepared as a dated release package that enumerates every change included, confirms each is release-safe, and carries a written pre-deployment, post-deployment before deployment proceeds.
2.⁠ ⁠Mandatory staging deployment and testing. Every change is deployed to a staging environment and tested there before it is eligible for release. Isolated preview environments are provisioned automatically per change for independent verification.
4.⁠ ⁠Definitive record of what was released. Release notes and a release version record are generated automatically for each release, providing an auditable statement of exactly what was deployed and when.
5.⁠ ⁠Human release authority. Automation prepares, checks and documents the release, but the decision to merge and deploy to production is always taken by an authorised person.
6.⁠ ⁠Previous stable version retained. All code is version-controlled and the prior production version remains available for redeployment.
</t>
  </si>
  <si>
    <t xml:space="preserve">1.⁠ ⁠Post-deployment verification of each change. Every release plan includes defined post-deployment checks, and changes are verified against the deployed environment after release, with the verification evidence retained against the feature.
2.⁠ ⁠The change record remains open for monitoring after release. Each release change request moves to a monitor and review stage after deployment and is only closed once the release has been observed in production.
3.⁠ ⁠Continuous production monitoring and alerting. Application errors, performance and system health are monitored continuously, with automated alerts routed to a dedicated production alerts channel for investigation.
4.⁠ ⁠Daily reconciliation as an independent correctness check. Ingested transactions are reconciled daily against acquiring bank statements and payment service provider reports. Any mismatch is raised as an exception record or a discrepancy adjustment, which detects incorrect transaction, fee or settlement processing independently of the release itself.
5.⁠ ⁠Automated financial position monitoring. Pool account balances are monitored on a recurring intraday basis with alerting on deviation.
6.⁠ ⁠Settlement pipeline health review. A defined health sweep covers settlement backlog, throughput, job failures, money movement and configuration, producing a per-bank verdict used to confirm settlement is operating as intended.
7.⁠ ⁠Full audit and integration logging. Regulated records carry an end-to-end audit trail, and all calls to and from external systems are logged and retrievable for investigation.
</t>
  </si>
  <si>
    <t xml:space="preserve">⁠Asynchronous, workload-isolated processing. Payment and settlement processing runs through segregated background queues, with separate worker pools for reconciliation, integrations, settlement preparation, instant settlement, imports, compliance screening and audit. A surge or failure in one workload does not block the others or the live payment path.
2.⁠ ⁠Defined retry and timeout limits per workload. Each processing pool has an explicit execution timeout and retry count, so a stalled or failing task is bounded and retried rather than consuming capacity indefinitely.
3.⁠ ⁠Automatic worker balancing. Processing capacity is redistributed automatically across active queues according to demand, within the configured limits.
4.⁠ ⁠Load spreading through scheduling. Heavy batch processing (settlement preparation, adjustments, fee summarisation, reporting and data synchronisation) is scheduled at defined off-peak times rather than concentrated, reducing contention with live transaction traffic.
5.⁠ ⁠Request rate limiting is applied to the merchant portal and internal admin interfaces to protect the platform from excessive or abusive request volumes.
6.⁠ ⁠Redundant infrastructure. The platform runs across multiple application and worker servers with the merchant portal and internal admin hosted separately, behind an edge protection and traffic management layer.
</t>
  </si>
  <si>
    <t xml:space="preserve">.⁠ ⁠Regulatory requirements are already embedded as product controls. Mandated customer and merchant due diligence is implemented in the platform, including national identity verification, commercial registration verification, AML screening, electronic KYC with one-time-password verification, and bank account ownership verification. Settlement is automatically blocked for any merchant that has not satisfied the required checks.
2.⁠ ⁠Regulatory reporting capability is built into the platform, with dedicated supervisory reporting and tax authority integration maintained as product functionality.
3.⁠ ⁠Every change is delivered under an audited change record, providing a traceable link between a required change and its deployment to production, which evidences regulatory implementation to a supervisor or auditor.
4.⁠ ⁠Complete audit trail on regulated records. Onboarding, compliance, transaction, payment and adjustment records carry an end-to-end audit history retained for supervisory examination.
5.⁠ ⁠Configuration-based controls for rapid response. Defined product behaviours can be enabled, disabled or adjusted through controlled configuration without a full software release, allowing a required change to be applied within short regulatory timelines.
6.⁠ ⁠Structured intake, prioritisation and estimation of all requirements, giving visibility of delivery timelines and dependencies.
7.⁠ ⁠Documentation of regulated product behaviour is maintained and must be updated in the same change that alters that behaviour, so the described control environment stays accurate.
</t>
  </si>
  <si>
    <t xml:space="preserve">1.⁠ ⁠Fees are applied from controlled, per-merchant configuration. Pricing is held as structured configuration against each merchant's subscription, including the card scheme fee breakdown, and is applied consistently from that configuration rather than being set case by case.
2.⁠ ⁠Maker-checker approval on commercial and account configuration. Changes to merchant subscriptions, card scheme fees, merchant records, bank accounts, adjustments and terminals are submitted for independent approval and do not take effect until approved by a second authorised person.
3.⁠ ⁠Full audit trail on configuration and fee changes, recording what changed, by whom and when, and retained for review.
4.⁠ ⁠Merchant-facing transparency. The merchant portal provides statements, settlement records, transaction detail, collections and deductions, showing merchants the fees and deductions actually applied to each settlement, so applied charges are visible and challengeable.
</t>
  </si>
  <si>
    <t xml:space="preserve">.⁠ ⁠Beneficiary change is subject to independent approval. Changes to merchant bank account and IBAN details are submitted for review and do not take effect until approved by a second authorised person, and bank account ownership is verified before settlement is permitted. This directly addresses the primary payment fraud vector of redirecting settlement to an attacker-controlled account.
2.⁠ ⁠Settlement is blocked by default until verification is complete. A merchant cannot receive funds while any required identity, commercial registration, AML or bank account verification is outstanding.
3.⁠ ⁠Identity and AML screening at onboarding. National identity verification, commercial registration verification and AML screening are performed before a merchant is activated, with screening processed on dedicated priority queues.
4.⁠ ⁠Independent approval on money movement and reversals. Adjustments, payments and settlement reversals are subject to maker-checker approval, limiting the ability of any single user to move funds or reverse a settlement.
5.⁠ ⁠Rate limiting on merchant and internal interfaces, restricting repeated authentication and request attempts.
6.⁠ ⁠Daily reconciliation as a detective control, matching processed transactions to acquiring bank statements and provider reports, which surfaces duplicated, fabricated or unmatched transactions.
7.⁠ ⁠Full audit trail across onboarding, configuration, transaction, payment and adjustment records, supporting attribution and investigation of suspected abuse.
</t>
  </si>
  <si>
    <t xml:space="preserve">.⁠ ⁠Comprehensive maintained internal knowledge base. The product is documented domain by domain, covering merchant configuration, onboarding and compliance, the transaction lifecycle, settlement, reconciliation, adjustments and payouts, external integrations, the internal administration application, platform operations, and data and audit, together with a glossary and acronym list.
2.⁠ ⁠Documentation is maintained in step with the product. Any change that alters documented behaviour must update the corresponding documentation in the same change, and this is enforced at review. Documentation therefore reflects the live system rather than degrading over time.
3.⁠ ⁠Codified working procedures. Standard procedures for investigation, support handling, testing, review and release are written as repeatable procedures rather than held informally, so incident handling and delivery do not depend on an individual's recall.
4.⁠ ⁠No single required approver. Ownership of each product and system area is assigned to multiple named individuals, with money-related areas assigned to four, so no one person is a mandatory approver or a bottleneck.
5.⁠ ⁠Mandatory peer review of every change, ensuring at least two people understand each change before it is released.
6.⁠ ⁠System-held history. Audit trails and integration logs allow past behaviour and decisions to be reconstructed from the system rather than from personal recollection
</t>
  </si>
  <si>
    <t xml:space="preserve">1.⁠ ⁠Single authoritative transaction record. Each transaction exists once, with one controlled status, read by the merchant portal, the internal administration application and downstream systems alike. There are no parallel copies of status that can diverge.
2.⁠ ⁠Status is system-driven, not manually set. Status changes are applied by the processing pipeline as each stage completes, rather than by manual entry.
3.⁠ ⁠Daily reconciliation detects status divergence. Processed transactions are reconciled daily against acquiring bank statements and provider reports. Any transaction whose recorded state does not agree with the bank or provider is raised as an exception record or a discrepancy adjustment.
4.⁠ ⁠Full integration logging. Every message exchanged with providers and banks is logged with its request and response, so a disputed status can be traced back to the exact message received.
5.⁠ ⁠Bounded retry on failed processing. Failed processing steps are retried within defined limits and timeouts, so transient interface failures do not silently leave a transaction unprocessed.
6.⁠ ⁠Audit trail of status changes on transactions and payments, recording each change and when it occurred.
7.⁠ ⁠Monitoring of processing delay and settlement pipeline health, covering processing backlog, failed jobs and stalled settlement, with alerting to a dedicated production alerts channel.
8.⁠ ⁠Automated regression testing of status handling on every change, which must pass before release.
</t>
  </si>
  <si>
    <t xml:space="preserve">⁠Documented investigation methodology with a defined issue taxonomy. Merchant escalations and settlement queries are investigated against a documented playbook set covering a defined list of recurring issue types, including login and one-time-password, onboarding and electronic KYC, payout failure, terminal lifecycle, exports, merchant configuration, bank account details, reconciliation, adjustments and transaction status. Each playbook specifies the identifiers required, the evidence to be gathered and the permitted conclusions, so investigations are consistent and comparable rather than improvised.
2.⁠ ⁠Root-cause-first investigation. Each escalation is investigated to a documented conclusion, distinguishing a confirmed product defect from a data issue, a partner-side failure, an operational self-service item or a correct-as-designed outcome. Cases are not closed on a workaround without a stated cause.
3.⁠ ⁠Maintained register of recurring issues. A dated and owned register records the issues raised repeatedly by support, keyed to the language support uses, linked to the corresponding engineering ticket and its current status, together with the agreed response while the issue remains open. The register tracks repeat occurrences of the same theme and requires a repeat report of a previously fixed issue to be treated as a possible regression rather than closed again against the original cause.
4.⁠ ⁠Traceable link from escalation to remediation. Where an escalation is confirmed as a defect, it is raised into the engineering backlog with the supporting evidence attached, creating a record from complaint through to fix and release.
5.⁠ ⁠Proactive monitoring. Settlement pipeline health, pool balances and processing delays are monitored with alerting, so systemic issues are frequently detected before they generate complaint volume.
</t>
  </si>
  <si>
    <t xml:space="preserve">1.⁠ ⁠Independent daily reconciliation against both the provider and the acquiring bank. Every transaction ingested from a payment service provider is matched against the provider's terminal-level daily report and against the acquiring bank statement. A transaction dropped, lost or duplicated in the integration is therefore detected because the platform record and the counterparty record disagree.
2.⁠ ⁠Complete integration logging. Every message exchanged with each provider and bank is logged with its request and response and is retrievable per integration, so a dropped, rejected or malformed message can be identified and traced to the exact exchange.
3.⁠ ⁠Bounded automatic retry with defined timeouts. Ingestion and processing steps are retried automatically within defined attempt limits and execution timeouts. Items that exhaust retries are retained in a failed state for investigation rather than discarded.
4.⁠ ⁠Asynchronous ingestion. Inbound provider messages are accepted and queued for processing, so congestion or a fault in downstream processing does not cause the platform to reject or lose an inbound transaction at the point of receipt.
5.⁠ ⁠Authenticated inbound interfaces. Each integration enforces its own authentication, including access tokens with source address restriction on provider webhooks and message signing on other interfaces, so only legitimate messages are accepted and rejected traffic is logged.
6.⁠ ⁠Single authoritative transaction record with a controlled status lifecycle, so a transaction is not maintained in parallel copies that can diverge, and reconciliation surfaces duplicated as well as missing items.
7.⁠ ⁠Monitoring and alerting on ingestion and settlement pipeline health, including processing backlog, failed jobs and stalled items, routed to a dedicated production alerts channel.
8.⁠ ⁠Automated regression testing of integration handling on every change, which must pass before release.
</t>
  </si>
  <si>
    <t xml:space="preserve">⁠Central terminal registry and control. Terminals are registered against a merchant branch with their configuration and operational status maintained centrally, so affected devices can be identified and, where necessary, disabled or reconfigured from a single point.
2.⁠ ⁠Full per-terminal integration logging, so device-originated failures following an update are traceable to the specific terminal and message exchange.
3.⁠ ⁠Defined escalation and investigation procedure for terminal lifecycle and device failure issues, specifying the information required and the resolution path.
4.⁠ ⁠An established change control framework already operates for platform software releases, comprising an audited change record, mandatory quality gates, staging deployment, defined release authority and an automatic record of what was deployed. The framework exists and is proven, but currently governs platform releases rather than device software distribution.
</t>
  </si>
  <si>
    <t xml:space="preserve">1.⁠ ⁠Central registry of deployed devices. Every terminal issued to a merchant is registered against that merchant and branch, with its configuration and operational status maintained centrally. The population of devices in the field is therefore recorded and retrievable at any time.
2.⁠ ⁠Independent approval on terminal record changes. Changes to terminal records are submitted for review and take effect only once approved by a second authorised person, protecting the accuracy of the deployed-device record.
3.⁠ ⁠Audit trail on terminal records, recording each change, by whom and when.
4.⁠ ⁠Controlled bulk registration. Terminals can be registered in bulk through a defined process, with failures surfaced and investigated rather than silently accepted, and terminal registration and installation issues are a recognised investigation category with a documented resolution path.
5.⁠ ⁠Forward demand data is available. The onboarding pipeline records merchants progressing toward activation, providing forward visibility of impending device demand, and the terminal registry records replacement and deactivation history.
</t>
  </si>
  <si>
    <t xml:space="preserve">1.⁠ ⁠Terminal-level transaction visibility. Every transaction records the terminal that originated it, so a device that has stopped processing is identifiable from platform data without relying on the merchant to report it.
2.⁠ ⁠Daily terminal-level reconciliation. Transactions are reconciled per terminal per day against payment service provider reports, so a terminal that is not reporting or is reporting incompletely is detectable through the reconciliation cycle.
3.⁠ ⁠Central terminal registry with lifecycle management. Terminals are registered against a merchant and branch with their status maintained centrally, so a failed device can be deactivated and a replacement registered against the same merchant and branch.
4.⁠ ⁠Independent approval and audit trail on terminal record changes, so device deactivations and replacements are authorised by a second person and fully traceable.
5.⁠ ⁠Per-terminal integration logging. Failures originating at a device are logged with the exact message exchange, allowing a connectivity failure to be distinguished from an application or platform failure during investigation.
</t>
  </si>
  <si>
    <t xml:space="preserve">.⁠ ⁠Independent approval on terminal configuration. Terminal records, including their assignment to a merchant and branch, are submitted for review and take effect only once approved by a second authorised person. A single individual cannot register, reassign or reconfigure a terminal unchecked.
2.⁠ ⁠Terminals are bound to a single authoritative merchant and branch record, so every transaction arriving from a terminal resolves to one merchant and one branch. A transaction from an unrecognised or unassigned terminal is not silently attributed.
3.⁠ ⁠Settlement is gated on merchant verification status. Even where a device is installed and transacting, funds cannot be settled to a merchant that has not completed identity, commercial registration, AML screening and bank account verification, so an installation error cannot result in funds reaching an unverified party.
4.⁠ ⁠Independent approval on merchant bank account details, so an installation or configuration action cannot redirect settlement to a different beneficiary.
5.⁠ ⁠Daily terminal-level reconciliation against payment service provider reports and acquiring bank statements, which detects a terminal whose transactions do not match the expected merchant or which is reporting under an unexpected identifier. This is the primary detective control against misrouted transactions.
6.⁠ ⁠Unmatched items become structured exceptions, recorded as exception records or discrepancy adjustments for investigation rather than silently absorbed.
7.⁠ ⁠Full audit trail and per-terminal integration logging, so an installation or configuration error can be attributed and traced to the exact message exchange.
</t>
  </si>
  <si>
    <t>a</t>
  </si>
  <si>
    <t>Failure to Meet Customer Service SLA</t>
  </si>
  <si>
    <t>Incorrect Information Provided to Customer</t>
  </si>
  <si>
    <t>Failure to Escalate Customer Complaints</t>
  </si>
  <si>
    <t>Failure to Perform Customer Identity Verification</t>
  </si>
  <si>
    <t>Customer Data Leakage by Customer Support Staff</t>
  </si>
  <si>
    <t>Failure to Properly Record Customer Interactions in CRM</t>
  </si>
  <si>
    <t>Failure to Resolve Customer Complaints within Regulatory Timelines</t>
  </si>
  <si>
    <t>Poor Customer Communication</t>
  </si>
  <si>
    <t>Social Engineering Against Customer Support Agents</t>
  </si>
  <si>
    <t>High Volume of Repeat Customer Contacts (First Contact Resolution Failure)</t>
  </si>
  <si>
    <t>Ineffective Root Cause Analysis (RCA)</t>
  </si>
  <si>
    <t>Ineffective Quality Assurance (QA) Reviews</t>
  </si>
  <si>
    <t>Failure to Properly Handle SAMA Complaints</t>
  </si>
  <si>
    <t>Inaccurate Customer Operations Reporting</t>
  </si>
  <si>
    <t>CRM System Unavailability</t>
  </si>
  <si>
    <t>Insufficient Customer Support Staffing</t>
  </si>
  <si>
    <t>Disruption of Customer Support Operations</t>
  </si>
  <si>
    <t>Failure to Identify and Escalate Fraud Indicators</t>
  </si>
  <si>
    <t>Unauthorized Disclosure of Customer Information</t>
  </si>
  <si>
    <t>Failure to Comply with Personal Data Protection Requirements</t>
  </si>
  <si>
    <t>Improper Handling of Settlement-Related Customer Queries</t>
  </si>
  <si>
    <t>Failure of Call Recording System</t>
  </si>
  <si>
    <t>Inadequate Employee Competency and Training</t>
  </si>
  <si>
    <t>Failure to Escalate Material Operational Issues</t>
  </si>
  <si>
    <t>Failure to Submit Accurate Regulatory Information</t>
  </si>
  <si>
    <t>Declining Customer Satisfaction</t>
  </si>
  <si>
    <t>Failure of Communication Channels</t>
  </si>
  <si>
    <t>Operational Disruption Due to Process or System Changes</t>
  </si>
  <si>
    <t>Internal Fraud by Customer Operations Staff</t>
  </si>
  <si>
    <t>Failure to Test Customer Operations Business Continuity Arrangements</t>
  </si>
  <si>
    <t>Failure to Maintain Customer Support Records</t>
  </si>
  <si>
    <t>Customer inquiries are not logged into the CRM system upon receipt.</t>
  </si>
  <si>
    <t>Inquiry Closure</t>
  </si>
  <si>
    <t>Request Processing</t>
  </si>
  <si>
    <t>Customer Communication During Complaint Handling</t>
  </si>
  <si>
    <t>CO-1</t>
  </si>
  <si>
    <t>CO-2</t>
  </si>
  <si>
    <t>CO-3</t>
  </si>
  <si>
    <t>CO-4</t>
  </si>
  <si>
    <t>CO-5</t>
  </si>
  <si>
    <t>CO-6</t>
  </si>
  <si>
    <t>CO-7</t>
  </si>
  <si>
    <t>CO-8</t>
  </si>
  <si>
    <t>CO-9</t>
  </si>
  <si>
    <t>CO-10</t>
  </si>
  <si>
    <t>CO-11</t>
  </si>
  <si>
    <t>CO-12</t>
  </si>
  <si>
    <t>CO-13</t>
  </si>
  <si>
    <t>CO-14</t>
  </si>
  <si>
    <t>CO-15</t>
  </si>
  <si>
    <t>CO-16</t>
  </si>
  <si>
    <t>CO-17</t>
  </si>
  <si>
    <t>CO-18</t>
  </si>
  <si>
    <t>CO-19</t>
  </si>
  <si>
    <t>CO-20</t>
  </si>
  <si>
    <t>CO-21</t>
  </si>
  <si>
    <t>CO-22</t>
  </si>
  <si>
    <t>CO-23</t>
  </si>
  <si>
    <t>CO-24</t>
  </si>
  <si>
    <t>CO-25</t>
  </si>
  <si>
    <t>Customer Support provides inaccurate, incomplete or misleading information regarding Foodics Pay products, transactions, settlements or complaints.</t>
  </si>
  <si>
    <t>Customer complaints are not escalated timely to Level 2 Support or relevant departments.</t>
  </si>
  <si>
    <t>Customer identity is not properly verified before providing account-specific information or processing requests.</t>
  </si>
  <si>
    <t>Confidential customer information is disclosed to unauthorized parties through negligence or malicious activity.</t>
  </si>
  <si>
    <t>Customer inquiries, requests, complaints, resolutions, or supporting evidence are not completely or accurately recorded in the CRM system.</t>
  </si>
  <si>
    <t>Customer complaints exceed the prescribed internal or regulatory resolution timelines.</t>
  </si>
  <si>
    <t>Customer Support communicates unprofessionally or fails to provide timely updates regarding customer cases.</t>
  </si>
  <si>
    <t>Fraudsters manipulate Customer Support representatives into disclosing confidential customer information or processing unauthorized requests.</t>
  </si>
  <si>
    <t>Customers repeatedly contact Customer Support because their issue was not resolved during the initial interaction.</t>
  </si>
  <si>
    <t>Customer complaints and operational issues are resolved without identifying and addressing the underlying root cause, resulting in recurring incidents.</t>
  </si>
  <si>
    <t>Quality Assurance reviews fail to identify process deviations, customer handling deficiencies, or regulatory non-compliance.</t>
  </si>
  <si>
    <t>Complaints submitted through SAMA's Complaint Management System are not investigated, responded to, or resolved in accordance with regulatory requirements.</t>
  </si>
  <si>
    <t>Operational reports submitted to management contain inaccurate, incomplete, or untimely information.</t>
  </si>
  <si>
    <t>Customer Relationship Management (CRM) system becomes unavailable, preventing Customer Support from accessing customer records or managing tickets. It potentially effect Customer service disruption,SLA breaches,Complaint backlog</t>
  </si>
  <si>
    <t>Customer Support staffing levels are inadequate to manage customer demand during peak periods.</t>
  </si>
  <si>
    <t>Customer Operations become unavailable due to technology failure, cyber incidents, natural disasters, or other disruptive events, affecting the ability to provide customer support. It also impact on Inability to support customers,Regulatory non-compliance,Revenue loss,Reputational damage</t>
  </si>
  <si>
    <t>Customer Support staff fail to identify suspicious activities, social engineering attempts, or fraudulent customer behavior and do not escalate them to the Fraud Team. It impacts on Financial loss,Customer account compromise,Regulatory findings,Reputational damage</t>
  </si>
  <si>
    <t>Customer Support discloses confidential customer information to unauthorized individuals due to inadequate verification or human error. It Potential Impacts on PDPL violation,Regulatory penalties,Identity theft and Reputation damage</t>
  </si>
  <si>
    <t>Customer Support fails to comply with applicable personal data protection obligations when collecting, processing, storing, or sharing customer information.</t>
  </si>
  <si>
    <t>Settlement-related customer inquiries are incorrectly investigated or resolved, resulting in inaccurate information or delayed resolution.</t>
  </si>
  <si>
    <t>Customer conversations are not recorded due to system failure, configuration issues, or storage limitations.</t>
  </si>
  <si>
    <t>Customer Support employees lack sufficient knowledge or skills to effectively perform their responsibilities.</t>
  </si>
  <si>
    <t>Significant operational issues, recurring customer complaints, or emerging risks are not escalated to senior management or Risk Management in a timely manner. Customer Operations staff fail to identify, record, or report operational loss events arising from customer service activities, complaints, fraud attempts, compensation payments, or process failures.</t>
  </si>
  <si>
    <t>Customer Operations provides inaccurate, incomplete, or delayed information requested by Compliance, Risk Management, Internal Audit, or regulators.</t>
  </si>
  <si>
    <t>Overall customer satisfaction deteriorates due to poor service quality, delays, or ineffective complaint handling.</t>
  </si>
  <si>
    <t>Customer support communication channels (telephone, email, chat, web portal) become unavailable or experience significant degradation.</t>
  </si>
  <si>
    <t>Changes to systems, procedures, products, or operational processes are implemented without adequate communication, testing, or staff readiness, resulting in service disruption.</t>
  </si>
  <si>
    <t>Customer Operations employees intentionally misuse system access or manipulate customer interactions for personal gain or to conceal misconduct.</t>
  </si>
  <si>
    <t>Business Continuity and Disaster Recovery arrangements are not tested periodically, resulting in ineffective recovery during an actual disruption.</t>
  </si>
  <si>
    <t>Customer interaction records, complaint documentation, investigation files, or supporting evidence are lost, incomplete, altered, or retained inconsistently with regulatory or internal requirements.</t>
  </si>
  <si>
    <t>Customer Support Agent fails to create a ticket. Manual oversight.,Lack of adherence to the documented process.</t>
  </si>
  <si>
    <t>Customer inquiries are closed before resolution or without confirming that the customer's request has been addressed.</t>
  </si>
  <si>
    <t>Customer requests are not processed within the defined turnaround time.</t>
  </si>
  <si>
    <t>Customers are not informed about the status or progress of their complaints during the investigation process.</t>
  </si>
  <si>
    <t>customer support</t>
  </si>
  <si>
    <t>Customer inquiries, requests or complaints are not responded to or resolved within the defined Service Level Agreements (SLAs), resulting in delayed customer service.</t>
  </si>
  <si>
    <t>CO-26</t>
  </si>
  <si>
    <t>CO-27</t>
  </si>
  <si>
    <t>CO-28</t>
  </si>
  <si>
    <t>CO-29</t>
  </si>
  <si>
    <t>CO-30</t>
  </si>
  <si>
    <t>CO-31</t>
  </si>
  <si>
    <t>CO-32</t>
  </si>
  <si>
    <t>CO-33</t>
  </si>
  <si>
    <t>CO-34</t>
  </si>
  <si>
    <t>CO-35</t>
  </si>
  <si>
    <t>CO-36</t>
  </si>
  <si>
    <t>Daily backlog monitoring.
Escalations to the stakeholders managers.
monthly reporting</t>
  </si>
  <si>
    <t>Centralized Knowledge Base (KB) with mandatory SOP adherence, daily/weekly QA ticket sampling,regular product update, and training/coaching plans</t>
  </si>
  <si>
    <t>Operation are tracking on daily basis open tickets
Handover process between shifts
Sampling number of tickets from all agents during the month on weekly/daily basis to ensure each support is escalating correctly
QA sampling focused on escalation accuracy</t>
  </si>
  <si>
    <t>Mandatory PDPL verification protocol in CRM prior to account disclosure, accompanied by daily audits of PDPL-sensitive cases with briefing</t>
  </si>
  <si>
    <t>Role-Based Access Control (RBAC) restricting data export rights.
Daily audits of PDPL-sensitive cases with briefing</t>
  </si>
  <si>
    <t>Omnichannel CRM auto-ticketing integration for calls, emails, and chats.</t>
  </si>
  <si>
    <t>Mandatory QA evaluations for soft skills/tone, and targeted agent coaching based on CSAT feedback.
Operation are checking backlog on daily basis
SOP already covering updating clients for requests and complaints.</t>
  </si>
  <si>
    <t>Strict caller verification SOPs and an immediate red-flag escalation channel to Fraud email.</t>
  </si>
  <si>
    <t>First Response Time &amp; First contact resolution tracking, and targeted agent coaching on complex query handling.
SOP already covering updating clients for requests and complaints.</t>
  </si>
  <si>
    <t>RCA analysis 
Mandatory RCA field entry in CRM prior to closing high-severity tickets.</t>
  </si>
  <si>
    <t>Weekly QA calibration sessions, alignment between QA scores and CSAT metrics, and periodic QA scorecard updates to capture emerging risks from KPI's.</t>
  </si>
  <si>
    <t>SAMA portal tracking
Daily backlog monitoring.
Escalations to the stakeholders managers.
RCA analysis</t>
  </si>
  <si>
    <t>CRM data extraction based on docuementation that is being taken care by QA to review it and mandatory secondary manager review before executive submission.
Monthly report for managment.</t>
  </si>
  <si>
    <t>Regular maintenance</t>
  </si>
  <si>
    <t>Shift volume forecasting, cross-trained support agents, and flexible shift/overtime contingency planning.</t>
  </si>
  <si>
    <t>Remote work capability (cloud-based tools) and documented Business Continuity Plans (BCP).</t>
  </si>
  <si>
    <t>Process in place to Fraud cases</t>
  </si>
  <si>
    <t>Strict caller verification SOPs and following process in place to Fraud cases</t>
  </si>
  <si>
    <t>Data privacy policies (PDPL alignment), restricted export privileges, and periodic data privacy compliance audits.</t>
  </si>
  <si>
    <t>Standardized SOP for settlement reconciliation, dedicated finance escalation channel, and specialized training for settlement queries.</t>
  </si>
  <si>
    <t xml:space="preserve">Direct escalation channel to the IT team, with clear guidelines for such cases to be able to retrieve calls </t>
  </si>
  <si>
    <t>Structured onboarding curriculum, mandatory monthly assessments, and continuous refresher training/coaching.</t>
  </si>
  <si>
    <t>Defined operational escalation matrix, incident logging process, and weekly operations management sync meetings.
RCA analysis</t>
  </si>
  <si>
    <t>Standardized data review process, and manager sign-off prior to submission.</t>
  </si>
  <si>
    <t>Automated CSAT surveys post-interaction, peridoc monitoring of negative feedback, and action back feedback with agent and client if required</t>
  </si>
  <si>
    <t xml:space="preserve">Channel health monitoring, and customer notification if there is issue to notify with the avialable channels </t>
  </si>
  <si>
    <t>Direct communication with the support team based on the change, and what is require to be able to serve the client, with ETA if available/required</t>
  </si>
  <si>
    <t>Comprehensive CRM/MMS user action audit logging, Role-Based Access Control (RBAC) restricting data export rights.</t>
  </si>
  <si>
    <t>Annual BCP drill schedule, simulated outage walkthroughs, and post-test review with Risk Management.</t>
  </si>
  <si>
    <t>Restricted record deletion permissions and a retrieval process with IT team.</t>
  </si>
  <si>
    <t>Auto-ticket creation for inbound emails/chats/calls with mandatory fields to resolve the ticket.</t>
  </si>
  <si>
    <t>System restriction requiring mandatory resolution for inquiries when closure with mandatory fields, and QA sampling on these tickets, confirmation issue resolutinn protocol at the end of each ticket.</t>
  </si>
  <si>
    <t>Operational escalation hierarchy, and periodic pending request review.</t>
  </si>
  <si>
    <t xml:space="preserve">Automated SMS status updates during acknowledgment of receiving the complaints, and during resolution of the complaint </t>
  </si>
  <si>
    <t>good</t>
  </si>
  <si>
    <t>fair</t>
  </si>
  <si>
    <t>AML teams notify PayOps, for any merchant with suspicious activities, and hold their settlements, where our role is to ask the merchant for the needed documents and invoices to help the compliance teams investigate further how legitimate the transaction is. Specially if its with a high amount.
1-Define criteria to identify complaints that may indicate suspicious activity
2-Require escalation of such complaints to the Compliance team
3-Perform manual review of related transactions through existing AML systems (e.g., FOCAL)
4-Document all escalations and investigation outcomes
5-Provide basic awareness to relevant teams on identifying suspicious complaints</t>
  </si>
  <si>
    <t xml:space="preserve"> In the event of encountering suspected cases of money laundering transactions on these accounts, staff of the Anti-Financial Crime Unit will examine the case and report to the head of the Anti-Financial Crime Unit who will decide to report the case to the Financial Investigations Unit (FIU) of the Ministry of Interior.   Conducting Transaction Monitoring to detect unusual and suspicious activity. 
In case there are reasonable grounds to suspect that another person or entity engaging in Financial Crime: 
Escalating to the Financial Crime Unit by submitting unusual activity reports. Any employee should be able to escalate this report to the Financial Crime Unit in order  that the unit can examine and take appropriate measures. 
Filing a Suspicious Activity Report (SAR) to the authorities (SAFIU) within 10 working days of validation. 
1-Detect suspicious transactions through automated transaction monitoring systems.
2-Ensure all alerts are reviewed and investigated by the Compliance team.
3-Establish clear escalation procedures for potential suspicious cases
4-Define decision-making authority for filing Suspicious Activity Reports (SARs)
5-Ensure timely submission of SARs to SAFIU within regulatory timelines
6-Maintain proper documentation and audit trails for all investigations and reporting decisions</t>
  </si>
  <si>
    <t>We have different rules against which we monitor customer transctions via Focal APIs and raise a flag immediately if that happens
1-Establish a formal SOP for investigating, documenting, and escalating POS-related alerts
2-Develop and implement risk-based AML monitoring scenarios and alert thresholds tailored to merchant profiles, transaction behavior, and risk levels
3-Ensure all alerts are reviewed, investigated, and documented with clear audit trails
4-Enforce escalation procedures for suspicious activities, including submission to Compliance for further review and action
5-Integrate POS monitoring with the central transaction monitoring system to ensure consistency and full visibility
6-Conduct targeted training for relevant staff on AML monitoring scenarios and red flags related to POS transactions.
7-Perform periodic tuning and effectiveness testing of monitoring scenarios to enhance detection accuracy and reduce false positives</t>
  </si>
  <si>
    <t>Q4 timeline</t>
  </si>
  <si>
    <t>Establish and enforce CDD/EDD procedures, including risk scoring and PEP checks during onboarding and periodic reviews.
1-Enhance existing CDD and EDD procedures to ensure consistent application across all customers
2-Strengthen customer risk scoring methodology to support accurate risk classification
3-Ensure effective identification and handling of PEP customers during onboarding and periodic reviews
4-Standardize documentation and verification requirements for CDD/EDD processes
5-Ensure periodic review of customer information based on defined review cycles</t>
  </si>
  <si>
    <t>Prohibit anonymous or numerically coded accounts and verify customer identities through official documentation.
'1-Developed and implemented mandatory CDD/EDD procedures for all customers.
2-Implement risk-based customer classification using automated scoring models
3-Integrate sanctions and PEP screening within onboarding using a reliable vendor
4-Enforce Compliance review and approval for high-risk and EDD cases
5-Implement system controls to block onboarding until all checks and approvals are completed
6-Ensure all customer data is obtained and verified through reliable independent sources</t>
  </si>
  <si>
    <t>Established and maintain a structured annual AML and Risk strategy aligned with business objectives regulatory requirements  and risk appetite with clear governance and performance tracking.
1-Developed an annual AML/Risk strategy aligned with business growth and regulatory expectations
2-Define clear objectives, initiatives, and KPIs for all AML activities
3-Obtain Senior Management and Board approval for the strategy
4-Monitor progress against KPIs on a periodic basis (e.g., monthly/quarterly).
5-Escalate any delays or deviations and implement corrective actions in a timely manner
6-Conduct periodic reviews and update the strategy as needed based on emerging risks</t>
  </si>
  <si>
    <t>Recruitment will be conducted based on approved and available positions to meet operational requirements</t>
  </si>
  <si>
    <t>Fill approved vacant positions based on business requirements</t>
  </si>
  <si>
    <t>Deployed automated transaction monitoring systems with predefined rules and generate alerts for anomalies.
1-Review and update monitoring rules and thresholds based on risk assessment (BRA/CRA)
2-Ensure full integration between core system and monitoring system (e.g., FOCAL)
3-Implement periodic tuning and validation of alerts to reduce false positives
4-Establish escalation and review procedures for alerts (including Compliance approval)
4-Conduct regular testing and quality assurance (sampling every 6 months)</t>
  </si>
  <si>
    <t>Conduct risk assessments on customers and flag PEPs as high-risk with enhanced monitoring.
1-Implemented automated PEP screening integrated with onboarding and monitoring systems
2-Ensure all identified PEPs are classified as high-risk and subject to EDD
3-Enforce mandatory senior management (CEO) approval before onboarding PEPs
4-Apply enhanced ongoing monitoring for PEP accounts and transactions
5-Conduct periodic reviews and updates of PEP status and related risk profiles</t>
  </si>
  <si>
    <t xml:space="preserve">BRA has been developed and finalized </t>
  </si>
  <si>
    <t xml:space="preserve"> Assign Compliance responsibility to alert Marketing of any regulatory or policy changes requiring updates.</t>
  </si>
  <si>
    <t>Skills development occurs organically through on-the-job learning, peer collaboration, and ad-hoc exposure to new tools and industry practices.
- Could include access to certified training and programs for the team (through HR)
- Implement a routine team knowledge sharing hub about new marketing trends, channels and tools, industry case studies.. etc. This will ensure continuous development beyond daily operational tasks and support long-term capability maturity.</t>
  </si>
  <si>
    <t>Risk that business, operational, regulatory or customer requirements are incomplete, inaccurate, ambiguous or incorrectly translated into technical specifications during product development or enhancement. Inadequate stakeholder consultation, poorly documented requirements or uncontrolled changes may result in incorrect functionality, processing errors, missed regulatory requirements, production defects, rework, financial loss and customer impact.</t>
  </si>
  <si>
    <t>Inherent Risk Severity</t>
  </si>
  <si>
    <t>Excellent (−3)</t>
  </si>
  <si>
    <t>Good (−2)</t>
  </si>
  <si>
    <t>Fair (−1)</t>
  </si>
  <si>
    <t>Poor (0)</t>
  </si>
  <si>
    <t>Unsatisfactory (0)</t>
  </si>
  <si>
    <t>Very High (5)</t>
  </si>
  <si>
    <t>High (4)</t>
  </si>
  <si>
    <t>Medium (3)</t>
  </si>
  <si>
    <t>Low (2)</t>
  </si>
  <si>
    <t>Very Low (1)</t>
  </si>
  <si>
    <t>Risk Reduction</t>
  </si>
  <si>
    <t>3 levels</t>
  </si>
  <si>
    <t>2 levels</t>
  </si>
  <si>
    <t>1 level</t>
  </si>
  <si>
    <t>0 levels</t>
  </si>
  <si>
    <t>Residual Risk Score = Inherent Risk Score − Control Effectiveness Reduction</t>
  </si>
  <si>
    <r>
      <t xml:space="preserve">with a minimum residual risk score of </t>
    </r>
    <r>
      <rPr>
        <b/>
        <sz val="11"/>
        <color theme="1"/>
        <rFont val="Calibri"/>
        <family val="2"/>
        <scheme val="minor"/>
      </rPr>
      <t>1 (Very Low)</t>
    </r>
    <r>
      <rPr>
        <sz val="11"/>
        <color theme="1"/>
        <rFont val="Calibri"/>
        <family val="2"/>
        <scheme val="minor"/>
      </rPr>
      <t>.</t>
    </r>
  </si>
  <si>
    <r>
      <t xml:space="preserve">For example, </t>
    </r>
    <r>
      <rPr>
        <b/>
        <sz val="11"/>
        <color theme="1"/>
        <rFont val="Calibri"/>
        <family val="2"/>
        <scheme val="minor"/>
      </rPr>
      <t>Very High + Excellent</t>
    </r>
    <r>
      <rPr>
        <sz val="11"/>
        <color theme="1"/>
        <rFont val="Calibri"/>
        <family val="2"/>
        <scheme val="minor"/>
      </rPr>
      <t xml:space="preserve"> gives </t>
    </r>
    <r>
      <rPr>
        <sz val="10"/>
        <color theme="1"/>
        <rFont val="Arial Unicode MS"/>
        <family val="2"/>
      </rPr>
      <t>5 − 3 = 2</t>
    </r>
    <r>
      <rPr>
        <sz val="11"/>
        <color theme="1"/>
        <rFont val="Calibri"/>
        <family val="2"/>
        <scheme val="minor"/>
      </rPr>
      <t xml:space="preserve">, therefore </t>
    </r>
    <r>
      <rPr>
        <b/>
        <sz val="11"/>
        <color theme="1"/>
        <rFont val="Calibri"/>
        <family val="2"/>
        <scheme val="minor"/>
      </rPr>
      <t>Low</t>
    </r>
    <r>
      <rPr>
        <sz val="11"/>
        <color theme="1"/>
        <rFont val="Calibri"/>
        <family val="2"/>
        <scheme val="minor"/>
      </rPr>
      <t xml:space="preserve">. </t>
    </r>
    <r>
      <rPr>
        <b/>
        <sz val="11"/>
        <color theme="1"/>
        <rFont val="Calibri"/>
        <family val="2"/>
        <scheme val="minor"/>
      </rPr>
      <t>High + Good</t>
    </r>
    <r>
      <rPr>
        <sz val="11"/>
        <color theme="1"/>
        <rFont val="Calibri"/>
        <family val="2"/>
        <scheme val="minor"/>
      </rPr>
      <t xml:space="preserve"> gives </t>
    </r>
    <r>
      <rPr>
        <sz val="10"/>
        <color theme="1"/>
        <rFont val="Arial Unicode MS"/>
        <family val="2"/>
      </rPr>
      <t>4 − 2 = 2</t>
    </r>
    <r>
      <rPr>
        <sz val="11"/>
        <color theme="1"/>
        <rFont val="Calibri"/>
        <family val="2"/>
        <scheme val="minor"/>
      </rPr>
      <t xml:space="preserve">, therefore </t>
    </r>
    <r>
      <rPr>
        <b/>
        <sz val="11"/>
        <color theme="1"/>
        <rFont val="Calibri"/>
        <family val="2"/>
        <scheme val="minor"/>
      </rPr>
      <t>Low</t>
    </r>
    <r>
      <rPr>
        <sz val="11"/>
        <color theme="1"/>
        <rFont val="Calibri"/>
        <family val="2"/>
        <scheme val="minor"/>
      </rPr>
      <t xml:space="preserve">. </t>
    </r>
    <r>
      <rPr>
        <b/>
        <sz val="11"/>
        <color theme="1"/>
        <rFont val="Calibri"/>
        <family val="2"/>
        <scheme val="minor"/>
      </rPr>
      <t>Medium + Fair</t>
    </r>
    <r>
      <rPr>
        <sz val="11"/>
        <color theme="1"/>
        <rFont val="Calibri"/>
        <family val="2"/>
        <scheme val="minor"/>
      </rPr>
      <t xml:space="preserve"> gives </t>
    </r>
    <r>
      <rPr>
        <sz val="10"/>
        <color theme="1"/>
        <rFont val="Arial Unicode MS"/>
        <family val="2"/>
      </rPr>
      <t>3 − 1 = 2</t>
    </r>
    <r>
      <rPr>
        <sz val="11"/>
        <color theme="1"/>
        <rFont val="Calibri"/>
        <family val="2"/>
        <scheme val="minor"/>
      </rPr>
      <t xml:space="preserve">, therefore </t>
    </r>
    <r>
      <rPr>
        <b/>
        <sz val="11"/>
        <color theme="1"/>
        <rFont val="Calibri"/>
        <family val="2"/>
        <scheme val="minor"/>
      </rPr>
      <t>Low</t>
    </r>
    <r>
      <rPr>
        <sz val="11"/>
        <color theme="1"/>
        <rFont val="Calibri"/>
        <family val="2"/>
        <scheme val="minor"/>
      </rPr>
      <t>.</t>
    </r>
  </si>
  <si>
    <t>Compliance department monitors and implements regulatory changes. Maintain a Regulatory Circular Tracker, assign owners and deadlines for each update, review weekly.</t>
  </si>
  <si>
    <t>Compliance manager reports to the Risk Committee and Board of Directors.Include compliance as a standing agenda item in executive meetings</t>
  </si>
  <si>
    <t>Immediate reporting of breaches to senior management, Track through Incident Log.Set a 24–48-hour SLA for internal breach reporting; track via an incident log.</t>
  </si>
  <si>
    <t>Complaints must be resolved within 10 calendar days.Set complaint resolution SLAs; monitor with a central complaint tracker.</t>
  </si>
  <si>
    <t>Plugin ID 242168 is a critical-severity security check managed by Tenable. It detects unpatched VMware ESXi hypervisors that are vulnerable to multiple security flaws outlined in the VMware Security Advisory VMSA-2025-0013</t>
  </si>
  <si>
    <t>MMS system or Customer portal DDoS</t>
  </si>
  <si>
    <t>Unauthorized access to customer portal</t>
  </si>
  <si>
    <t>Unauthorized access to MMS</t>
  </si>
  <si>
    <t>API Abuse</t>
  </si>
  <si>
    <t>Zendesk Unavailability</t>
  </si>
  <si>
    <t>Active Directory Denial of Service</t>
  </si>
  <si>
    <t>WLAN Unavailability</t>
  </si>
  <si>
    <t>Biometric Manual Un-enrolment</t>
  </si>
  <si>
    <t xml:space="preserve">Not completing Awareness courses </t>
  </si>
  <si>
    <t xml:space="preserve">Endpoint Vulnerability remediation </t>
  </si>
  <si>
    <t>CS-049</t>
  </si>
  <si>
    <t>CS-050</t>
  </si>
  <si>
    <t>CS-051</t>
  </si>
  <si>
    <t>CS-052</t>
  </si>
  <si>
    <t>CS-053</t>
  </si>
  <si>
    <t>CS-054</t>
  </si>
  <si>
    <t>CS-055</t>
  </si>
  <si>
    <t>CS-056</t>
  </si>
  <si>
    <t>CS-057</t>
  </si>
  <si>
    <t>CS-058</t>
  </si>
  <si>
    <t>CS-059</t>
  </si>
  <si>
    <t>Engineering Team</t>
  </si>
  <si>
    <t>Facility</t>
  </si>
  <si>
    <t xml:space="preserve">All dept </t>
  </si>
  <si>
    <t>Ahmad Abdallah</t>
  </si>
  <si>
    <t>Mostafa Elmasri</t>
  </si>
  <si>
    <t>Abdallah Alsaqqa</t>
  </si>
  <si>
    <t xml:space="preserve">ALL of FP </t>
  </si>
  <si>
    <t>DDos attack on CP or MMS can disrupt the business and impact users</t>
  </si>
  <si>
    <t>Unauthorized access to customer portal can lead to leaking confidential customer information</t>
  </si>
  <si>
    <t>Unauthorized access to MMS can lead to leaking confidential customer information</t>
  </si>
  <si>
    <t>Abusing our APIs can impact our services and disrupt operations</t>
  </si>
  <si>
    <t>The unavailability of zendesk will impact the customer support team and will disrupt our support activities</t>
  </si>
  <si>
    <t>Systems will not be accessible</t>
  </si>
  <si>
    <t>WLAN is not performing as expected in the office causing disruption</t>
  </si>
  <si>
    <t>Biometric should be removed manually from the access control system when an employee resigns which might lead to human errors and late un-enrolment causing potential unauthorized access</t>
  </si>
  <si>
    <t xml:space="preserve">Comromise security and SAMA Compliance </t>
  </si>
  <si>
    <t xml:space="preserve">Remaining vulnerability remediation </t>
  </si>
  <si>
    <t xml:space="preserve">This is a UAT environment 
Risk Acceptance form is not needed since this is in the UAT environment, and we just wanted to keep a record </t>
  </si>
  <si>
    <t>Cloud flare DDoS mitigation in place</t>
  </si>
  <si>
    <t>MFA is in place to ensure only authorized access is allowed. Zero trust is applied on cloudflare</t>
  </si>
  <si>
    <t>Prevention control in place, app is behind WAF and we have encryption in place and rate limiting</t>
  </si>
  <si>
    <t>Other systems in place to perform the activity</t>
  </si>
  <si>
    <t xml:space="preserve">If active directory is down, windows is designed to cache the credentials therefore, users will access howeve, any new policies or password changes will not be performed until the server is back. </t>
  </si>
  <si>
    <t>LAN connection is available</t>
  </si>
  <si>
    <t>Periodic reviews from CS team to ensure any resigned/terminated employee records are removed on the access control + SOP is in place and being enforced</t>
  </si>
  <si>
    <t xml:space="preserve">Human Resources valation action </t>
  </si>
  <si>
    <t>Security controls (EDR, DLP and SASE) installed on the end user machines</t>
  </si>
  <si>
    <t>Mid 2027</t>
  </si>
  <si>
    <t>Upgrade the WLAN devices</t>
  </si>
  <si>
    <t>In-Plan</t>
  </si>
  <si>
    <t>PR-019</t>
  </si>
  <si>
    <t>Inadequate Thrid Party Due Diligence and Risk Assessment</t>
  </si>
  <si>
    <t>Risk that Foodics Pay may engage or continue relationships with third-party vendors without performing adequate, documented and due diligence. Insufficient assessment of a third party's legal status, ownership, conflicts of interest, sanctions exposure, regulatory history, litigation, financial condition, cybersecurity, data privacy, business continuity, supply-chain dependencies, compliance, AML and anti-fraud arrangements may expose Foodics Pay to fraud, regulatory breaches, financial loss, service disruption, cybersecurity/data incidents and reputational damage.</t>
  </si>
  <si>
    <t xml:space="preserve">Customer names are screened through FOCAL against the applicable sanctions lists during the onboarding process Screening records and results are retained as supporting evidence
In addition, customer names are periodically re-screened to identify any subsequent sanctions matches or changes in their sanctions status.
</t>
  </si>
  <si>
    <t xml:space="preserve"> FOCAL is used as a preventive control to verify customer names against the relevant sanctions lists before establishing a business relationship Evidence of the verification is documented and retained
The customer portfolio is also subject to periodic screening to detect newly listed or prohibited customers and prevent further dealings with them.</t>
  </si>
  <si>
    <t>The assessment is substantially completed and is currently undergoing final review and minor refinements before being submitted for formal approval.</t>
  </si>
  <si>
    <t>AFC-017</t>
  </si>
  <si>
    <t>AFC-018</t>
  </si>
  <si>
    <t>AFC-019</t>
  </si>
  <si>
    <t>AFC-20</t>
  </si>
  <si>
    <t>AFC-21</t>
  </si>
  <si>
    <t>AFC-22</t>
  </si>
  <si>
    <t>AFC-23</t>
  </si>
  <si>
    <t>AFC-24</t>
  </si>
  <si>
    <t>AFC-25</t>
  </si>
  <si>
    <t>FOCAL Integration</t>
  </si>
  <si>
    <t>Customer Risk Assessment</t>
  </si>
  <si>
    <t>CRA Methodology</t>
  </si>
  <si>
    <t>Sanctions/Name Screening</t>
  </si>
  <si>
    <t>Alert/Case Management</t>
  </si>
  <si>
    <t>STR Reporting</t>
  </si>
  <si>
    <t>New Product AML Risk</t>
  </si>
  <si>
    <t>CRA/BRA Linkage</t>
  </si>
  <si>
    <t>Key-Person / Succession</t>
  </si>
  <si>
    <t>Risk that incomplete/incorrect data transfer between the source system and FOCAL causes inaccurate AML processing.</t>
  </si>
  <si>
    <t>Risk that customers are assigned inaccurate risk ratings because FOCAL does not receive all factors required by the scoring model.</t>
  </si>
  <si>
    <t>Risk that inconsistent or insufficiently governed risk-scoring criteria lead to inappropriate customer classifications.</t>
  </si>
  <si>
    <t>Risk that incomplete identifiers reduce screening accuracy or generate excessive false positives.</t>
  </si>
  <si>
    <t>Risk that transaction-monitoring alerts are not investigated and closed within appropriate timelines.</t>
  </si>
  <si>
    <t>Risk that reportable suspicious activity is not reported to FIU accurately and within required timelines.</t>
  </si>
  <si>
    <t>Risk that new products/services are launched without appropriate ML/TF risk assessment and mitigating controls.</t>
  </si>
  <si>
    <t>Risk that customer risk assessment does not appropriately reflect institution-level ML/TF risk factors.</t>
  </si>
  <si>
    <t>Risk of disruption to AML operations and remediation due to departure of key AML/Compliance personnel.</t>
  </si>
  <si>
    <t>The integration between the source system and FOCAL has been significantly enhanced to improve the completeness and accuracy of data transfer
Multiple AML monitoring scenarios have been configured and activated in FOCAL and the integration and scenario performance are periodically reviewed to identify and address any data or processing issues. Further enhancements and additional scenarios are implemented based on identified risks and monitoring requirements.</t>
  </si>
  <si>
    <t xml:space="preserve">Currently a circular identifying high-risk Merchant Category Codes (MCCs) has been communicated to the Operations Department Merchants falling within the identified categories are referred through Tanar for review. Where applicable the customer’s classification is manually updated to High Risk in FOCAL, even if the system has not automatically classified the customer as high risk
As part of the upcoming self-onboarding phase this process will be automated so that the customer’s risk classification is directly reflected in FOCAL based on the assigned MCC.
</t>
  </si>
  <si>
    <t>Customer risk-scoring criteria are documented in the CRA methodology and include factors such as Merchant Category Code (MCC), geographic exposure, and legal entity type. The criteria are reviewed and updated when new risks are identified or relevant regulatory and FATF updates are issued. High-risk MCCs have also been communicated internally, and the applicable customer classifications are manually reflected in FOCAL pending implementation of the automated classification process</t>
  </si>
  <si>
    <t>Customer identification data transferred to FOCAL through Tanar includes the customer’s name, commercial registration number, nationality, and other available identifiers. Mandatory fields are subject to automated validation to support data completeness. Where a potential name match is identified, the alert is reviewed against the customer’s information and supporting documents, including the date of birth shown on the provided identification document. The outcome of the review and the reason for closing any false-positive alert are documented in the system</t>
  </si>
  <si>
    <t xml:space="preserve">An internal SLA has been established for the Anti-Money Laundering Department and is attached as supporting evidence. The SLA defines a clear timeframe requiring transaction-monitoring alerts to be reviewed, investigated, and closed within seven business days, supporting their timely handling and resolution.
</t>
  </si>
  <si>
    <t>The internal AML/CTF SLA establishes a clear requirement for Suspicious Transaction Reports (STRs) to be filed with SAFIU immediately upon establishing reasonable grounds for suspicion. The investigation timeline must not delay the reporting process, and any reporting deadline imposed by SAMA, SAFIU, or another competent authority takes priority over the internal SLA. The signed AML/CTF SLA is attached as supporting evidence</t>
  </si>
  <si>
    <t>Currently, there is no formal process requiring new products or services to be referred for an AML/CTF risk assessment before launch, and no previous product risk assessments have been provided to the AML function. As a planned enhancement, an AML review and approval step will be incorporated into the product-launch process in coordination with the Product and Risk teams to ensure that relevant ML/TF risks and required mitigating controls are assessed before launch</t>
  </si>
  <si>
    <t>Customer Risk Assessment (CRA) incorporates the institution-level ML/TF risk factors identified through the Business Risk Assessment (BRA), including Merchant Category Code (MCC), geographic exposure, legal entity type, and products or services. Customer classifications are applied through a combination of automated rules in FOCAL and manual adjustments. The risk factors and classification criteria are reviewed and updated when new or changing risks are identified. While the linkage is operationally applied, it is not currently supported by a standalone documented CRA/BRA mapping</t>
  </si>
  <si>
    <t>The AML Department currently consists of two employees. In the event that either employee leaves the department, a complete handover of all responsibilities, ongoing tasks, open cases, and relevant documentation must be provided to the remaining employee to support continuity of AML operations and remediation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</si>
</sst>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d\-mmm\-yy;@"/>
    <numFmt numFmtId="165" formatCode="yyyy\-mm\-dd;@"/>
    <numFmt numFmtId="166" formatCode="0.0"/>
  </numFmts>
  <fonts count="6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Arial"/>
      <family val="2"/>
    </font>
    <font>
      <b/>
      <sz val="10"/>
      <color theme="0"/>
      <name val="Arial"/>
      <family val="2"/>
    </font>
    <font>
      <sz val="11"/>
      <color theme="1"/>
      <name val="Arial"/>
      <family val="2"/>
    </font>
    <font>
      <sz val="9.5"/>
      <color rgb="FF3F3F3F"/>
      <name val="Arial"/>
      <family val="2"/>
    </font>
    <font>
      <b/>
      <sz val="9.5"/>
      <color theme="5"/>
      <name val="Arial"/>
      <family val="2"/>
    </font>
    <font>
      <b/>
      <sz val="9.5"/>
      <color theme="0"/>
      <name val="Arial"/>
      <family val="2"/>
    </font>
    <font>
      <b/>
      <sz val="9.5"/>
      <name val="Arial"/>
      <family val="2"/>
    </font>
    <font>
      <b/>
      <sz val="9.5"/>
      <color theme="1"/>
      <name val="Arial"/>
      <family val="2"/>
    </font>
    <font>
      <b/>
      <sz val="9.5"/>
      <color rgb="FF3F3F3F"/>
      <name val="Arial"/>
      <family val="2"/>
    </font>
    <font>
      <b/>
      <sz val="11"/>
      <color rgb="FF3F3F3F"/>
      <name val="Arial"/>
      <family val="2"/>
    </font>
    <font>
      <b/>
      <i/>
      <sz val="9"/>
      <color theme="9"/>
      <name val="Arial"/>
      <family val="2"/>
    </font>
    <font>
      <sz val="9.5"/>
      <color theme="1"/>
      <name val="Arial"/>
      <family val="2"/>
    </font>
    <font>
      <sz val="10"/>
      <color theme="1"/>
      <name val="Arial"/>
      <family val="2"/>
    </font>
    <font>
      <sz val="9.5"/>
      <name val="Arial"/>
      <family val="2"/>
    </font>
    <font>
      <sz val="9.5"/>
      <color theme="1"/>
      <name val="Calibri"/>
      <family val="2"/>
      <scheme val="minor"/>
    </font>
    <font>
      <sz val="10"/>
      <name val="Arial"/>
      <family val="2"/>
    </font>
    <font>
      <sz val="11"/>
      <color theme="5"/>
      <name val="Arial"/>
      <family val="2"/>
    </font>
    <font>
      <b/>
      <sz val="9.5"/>
      <color theme="5"/>
      <name val="Arial"/>
      <family val="2"/>
    </font>
    <font>
      <sz val="9.5"/>
      <color rgb="FFFF0000"/>
      <name val="Arial"/>
      <family val="2"/>
    </font>
    <font>
      <sz val="9"/>
      <color theme="1"/>
      <name val="Arial"/>
      <family val="2"/>
    </font>
    <font>
      <b/>
      <sz val="11"/>
      <color rgb="FFFFFFFF"/>
      <name val="Arial"/>
      <family val="2"/>
    </font>
    <font>
      <sz val="9.5"/>
      <color theme="0"/>
      <name val="Arial"/>
      <family val="2"/>
    </font>
    <font>
      <sz val="9.5"/>
      <color theme="5"/>
      <name val="Arial"/>
      <family val="2"/>
    </font>
    <font>
      <b/>
      <sz val="9.5"/>
      <color rgb="FFFFFFFF"/>
      <name val="Arial"/>
      <family val="2"/>
    </font>
    <font>
      <b/>
      <sz val="9.5"/>
      <color theme="9"/>
      <name val="Arial"/>
      <family val="2"/>
    </font>
    <font>
      <sz val="11"/>
      <color theme="1"/>
      <name val="Calibri"/>
      <family val="2"/>
      <scheme val="minor"/>
    </font>
    <font>
      <sz val="9.5"/>
      <color rgb="FF3F3F3F"/>
      <name val="Arial"/>
      <family val="2"/>
    </font>
    <font>
      <b/>
      <sz val="9.5"/>
      <color theme="5"/>
      <name val="Arial"/>
      <family val="2"/>
    </font>
    <font>
      <sz val="10"/>
      <name val="Arial"/>
      <family val="2"/>
    </font>
    <font>
      <sz val="10"/>
      <color theme="1"/>
      <name val="Arial"/>
      <family val="2"/>
    </font>
    <font>
      <b/>
      <sz val="10"/>
      <color theme="1"/>
      <name val="Arial"/>
      <family val="2"/>
    </font>
    <font>
      <b/>
      <i/>
      <sz val="10"/>
      <color theme="1"/>
      <name val="Arial"/>
      <family val="2"/>
    </font>
    <font>
      <sz val="10"/>
      <color rgb="FF3F3F3F"/>
      <name val="Arial"/>
      <family val="2"/>
    </font>
    <font>
      <sz val="9.5"/>
      <color theme="1"/>
      <name val="Arial"/>
      <family val="2"/>
    </font>
    <font>
      <sz val="9.5"/>
      <name val="Arial"/>
      <family val="2"/>
    </font>
    <font>
      <b/>
      <sz val="9.5"/>
      <color theme="1"/>
      <name val="Arial"/>
      <family val="2"/>
    </font>
    <font>
      <b/>
      <i/>
      <sz val="9.5"/>
      <color theme="1"/>
      <name val="Arial"/>
      <family val="2"/>
    </font>
    <font>
      <sz val="9"/>
      <color theme="1"/>
      <name val="Arial"/>
      <family val="2"/>
    </font>
    <font>
      <i/>
      <sz val="9"/>
      <color theme="1"/>
      <name val="Arial"/>
      <family val="2"/>
    </font>
    <font>
      <sz val="9"/>
      <color rgb="FF3F3F3F"/>
      <name val="Arial"/>
      <family val="2"/>
    </font>
    <font>
      <sz val="10"/>
      <color theme="1"/>
      <name val="Calibri Light"/>
      <family val="2"/>
      <scheme val="major"/>
    </font>
    <font>
      <sz val="9.5"/>
      <name val="Arial"/>
      <family val="2"/>
    </font>
    <font>
      <sz val="9.5"/>
      <color rgb="FF3F3F3F"/>
      <name val="Arial"/>
      <family val="2"/>
    </font>
    <font>
      <sz val="9"/>
      <name val="Arial"/>
      <family val="2"/>
    </font>
    <font>
      <sz val="9.5"/>
      <name val="Calibri"/>
      <family val="2"/>
    </font>
    <font>
      <b/>
      <i/>
      <sz val="12"/>
      <name val="Calibri"/>
      <family val="2"/>
    </font>
    <font>
      <sz val="11"/>
      <name val="Calibri"/>
      <family val="2"/>
    </font>
    <font>
      <b/>
      <sz val="9.5"/>
      <color rgb="FF3F3F3F"/>
      <name val="Arial"/>
      <family val="2"/>
    </font>
    <font>
      <b/>
      <sz val="9.5"/>
      <name val="Arial"/>
      <family val="2"/>
    </font>
    <font>
      <b/>
      <i/>
      <sz val="9.5"/>
      <name val="Arial"/>
      <family val="2"/>
    </font>
    <font>
      <i/>
      <sz val="9.5"/>
      <name val="Arial"/>
      <family val="2"/>
    </font>
    <font>
      <sz val="10"/>
      <name val="Times New Roman"/>
      <family val="1"/>
    </font>
    <font>
      <sz val="10"/>
      <name val="Times New Roman"/>
      <family val="1"/>
    </font>
    <font>
      <sz val="10"/>
      <color rgb="FF3F3F3F"/>
      <name val="Times New Roman"/>
      <family val="1"/>
    </font>
    <font>
      <sz val="10"/>
      <color rgb="FF000000"/>
      <name val="Arial"/>
      <family val="2"/>
    </font>
    <font>
      <sz val="8"/>
      <name val="Calibri"/>
      <family val="2"/>
      <scheme val="minor"/>
    </font>
    <font>
      <sz val="8"/>
      <color rgb="FF222222"/>
      <name val="Verdana"/>
      <family val="2"/>
    </font>
    <font>
      <b/>
      <sz val="11"/>
      <color theme="1"/>
      <name val="Calibri"/>
      <family val="2"/>
      <scheme val="minor"/>
    </font>
    <font>
      <b/>
      <sz val="11"/>
      <color theme="1"/>
      <name val="Calibri"/>
      <family val="2"/>
      <scheme val="minor"/>
    </font>
    <font>
      <sz val="10"/>
      <color theme="1"/>
      <name val="Arial Unicode MS"/>
      <family val="2"/>
    </font>
    <font>
      <sz val="10"/>
      <color theme="1"/>
      <name val="Times New Roman"/>
      <family val="1"/>
    </font>
  </fonts>
  <fills count="23">
    <fill>
      <patternFill patternType="none"/>
    </fill>
    <fill>
      <patternFill patternType="gray125"/>
    </fill>
    <fill>
      <patternFill patternType="solid">
        <fgColor rgb="FF7030A0"/>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E71939"/>
        <bgColor indexed="64"/>
      </patternFill>
    </fill>
    <fill>
      <patternFill patternType="solid">
        <fgColor rgb="FFFFCC00"/>
        <bgColor indexed="64"/>
      </patternFill>
    </fill>
    <fill>
      <patternFill patternType="solid">
        <fgColor rgb="FFC00000"/>
        <bgColor indexed="64"/>
      </patternFill>
    </fill>
    <fill>
      <patternFill patternType="solid">
        <fgColor theme="0"/>
        <bgColor indexed="64"/>
      </patternFill>
    </fill>
    <fill>
      <patternFill patternType="solid">
        <fgColor theme="6"/>
        <bgColor rgb="FF000000"/>
      </patternFill>
    </fill>
    <fill>
      <patternFill patternType="solid">
        <fgColor theme="3" tint="0.79998168889431442"/>
        <bgColor indexed="64"/>
      </patternFill>
    </fill>
    <fill>
      <patternFill patternType="solid">
        <fgColor theme="5" tint="0.79998168889431442"/>
        <bgColor indexed="64"/>
      </patternFill>
    </fill>
    <fill>
      <patternFill patternType="solid">
        <fgColor rgb="FFFFFFFF"/>
        <bgColor rgb="FFFFFFFF"/>
      </patternFill>
    </fill>
    <fill>
      <patternFill patternType="solid">
        <fgColor theme="0"/>
        <bgColor rgb="FF000000"/>
      </patternFill>
    </fill>
    <fill>
      <patternFill patternType="solid">
        <fgColor rgb="FFFEF3F2"/>
        <bgColor rgb="FFFEF3F2"/>
      </patternFill>
    </fill>
    <fill>
      <patternFill patternType="solid">
        <fgColor rgb="FFFFFAEB"/>
        <bgColor rgb="FFFFFAEB"/>
      </patternFill>
    </fill>
    <fill>
      <patternFill patternType="solid">
        <fgColor rgb="FFFFF8E1"/>
        <bgColor rgb="FFFFF8E1"/>
      </patternFill>
    </fill>
    <fill>
      <patternFill patternType="solid">
        <fgColor rgb="FFFFFFFF"/>
        <bgColor indexed="64"/>
      </patternFill>
    </fill>
  </fills>
  <borders count="32">
    <border>
      <left/>
      <right/>
      <top/>
      <bottom/>
      <diagonal/>
    </border>
    <border>
      <left style="thin">
        <color auto="1"/>
      </left>
      <right style="thin">
        <color auto="1"/>
      </right>
      <top style="thin">
        <color auto="1"/>
      </top>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bottom style="thin">
        <color auto="1"/>
      </bottom>
      <diagonal/>
    </border>
    <border>
      <left style="thin">
        <color rgb="FF000000"/>
      </left>
      <right/>
      <top/>
      <bottom style="thin">
        <color rgb="FF000000"/>
      </bottom>
      <diagonal/>
    </border>
    <border>
      <left style="thin">
        <color auto="1"/>
      </left>
      <right style="thin">
        <color auto="1"/>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9">
    <xf numFmtId="0" fontId="0" fillId="0" borderId="0"/>
    <xf numFmtId="0" fontId="23" fillId="0" borderId="0" applyNumberFormat="0" applyFill="0" applyBorder="0" applyAlignment="0" applyProtection="0"/>
    <xf numFmtId="164" fontId="33" fillId="0" borderId="0"/>
    <xf numFmtId="0" fontId="23" fillId="0" borderId="0"/>
    <xf numFmtId="0" fontId="7" fillId="0" borderId="0"/>
    <xf numFmtId="164" fontId="7" fillId="0" borderId="0"/>
    <xf numFmtId="0" fontId="36" fillId="0" borderId="0" applyNumberFormat="0" applyFill="0" applyBorder="0" applyAlignment="0" applyProtection="0"/>
    <xf numFmtId="0" fontId="6" fillId="0" borderId="0"/>
    <xf numFmtId="164" fontId="6" fillId="0" borderId="0"/>
  </cellStyleXfs>
  <cellXfs count="452">
    <xf numFmtId="0" fontId="0" fillId="0" borderId="0" xfId="0"/>
    <xf numFmtId="0" fontId="0" fillId="0" borderId="0" xfId="0" applyAlignment="1">
      <alignment horizontal="center" vertical="center"/>
    </xf>
    <xf numFmtId="0" fontId="0" fillId="0" borderId="0" xfId="0" applyAlignment="1">
      <alignment horizontal="left" vertical="top"/>
    </xf>
    <xf numFmtId="0" fontId="8" fillId="2" borderId="1" xfId="3" applyFont="1" applyFill="1" applyBorder="1" applyAlignment="1">
      <alignment horizontal="center" vertical="center" wrapText="1"/>
    </xf>
    <xf numFmtId="0" fontId="9" fillId="2" borderId="1" xfId="3" applyFont="1" applyFill="1" applyBorder="1" applyAlignment="1">
      <alignment horizontal="center" vertical="center" wrapText="1"/>
    </xf>
    <xf numFmtId="0" fontId="0" fillId="0" borderId="2" xfId="0" applyBorder="1" applyAlignment="1">
      <alignment horizontal="left" vertical="top"/>
    </xf>
    <xf numFmtId="0" fontId="10" fillId="0" borderId="3" xfId="0" applyFont="1" applyBorder="1" applyAlignment="1">
      <alignment vertical="center"/>
    </xf>
    <xf numFmtId="0" fontId="10" fillId="0" borderId="4" xfId="0" applyFont="1" applyBorder="1" applyAlignment="1">
      <alignment vertical="center"/>
    </xf>
    <xf numFmtId="0" fontId="0" fillId="0" borderId="5" xfId="0" applyBorder="1" applyAlignment="1">
      <alignment horizontal="left" vertical="top"/>
    </xf>
    <xf numFmtId="0" fontId="10" fillId="0" borderId="6" xfId="0" applyFont="1" applyBorder="1" applyAlignment="1">
      <alignment vertical="center"/>
    </xf>
    <xf numFmtId="0" fontId="10" fillId="0" borderId="7" xfId="0" applyFont="1" applyBorder="1" applyAlignment="1">
      <alignment vertical="center"/>
    </xf>
    <xf numFmtId="0" fontId="10" fillId="0" borderId="6" xfId="0" applyFont="1" applyBorder="1" applyAlignment="1">
      <alignment horizontal="center" vertical="center"/>
    </xf>
    <xf numFmtId="0" fontId="10" fillId="0" borderId="7" xfId="0" applyFont="1" applyBorder="1" applyAlignment="1">
      <alignment vertical="center" wrapText="1"/>
    </xf>
    <xf numFmtId="0" fontId="0" fillId="0" borderId="8" xfId="0" applyBorder="1" applyAlignment="1">
      <alignment horizontal="left" vertical="top"/>
    </xf>
    <xf numFmtId="0" fontId="11" fillId="0" borderId="0" xfId="0" applyFont="1" applyAlignment="1">
      <alignment vertical="center"/>
    </xf>
    <xf numFmtId="0" fontId="11" fillId="0" borderId="9" xfId="0" applyFont="1" applyBorder="1" applyAlignment="1">
      <alignment horizontal="center" vertical="center"/>
    </xf>
    <xf numFmtId="0" fontId="11" fillId="0" borderId="10" xfId="0" applyFont="1" applyBorder="1" applyAlignment="1">
      <alignment vertical="center"/>
    </xf>
    <xf numFmtId="0" fontId="11" fillId="0" borderId="11" xfId="0" applyFont="1" applyBorder="1" applyAlignment="1">
      <alignment vertical="center"/>
    </xf>
    <xf numFmtId="0" fontId="9" fillId="5" borderId="9" xfId="0" applyFont="1" applyFill="1" applyBorder="1" applyAlignment="1">
      <alignment horizontal="center" vertical="center"/>
    </xf>
    <xf numFmtId="0" fontId="11" fillId="4" borderId="15" xfId="0" applyFont="1" applyFill="1" applyBorder="1" applyAlignment="1">
      <alignment vertical="center"/>
    </xf>
    <xf numFmtId="0" fontId="12" fillId="5" borderId="16" xfId="0" applyFont="1" applyFill="1" applyBorder="1" applyAlignment="1">
      <alignment horizontal="center" vertical="center"/>
    </xf>
    <xf numFmtId="0" fontId="13" fillId="6" borderId="17" xfId="0" applyFont="1" applyFill="1" applyBorder="1" applyAlignment="1">
      <alignment horizontal="center" vertical="center"/>
    </xf>
    <xf numFmtId="0" fontId="13" fillId="7" borderId="17" xfId="0" applyFont="1" applyFill="1" applyBorder="1" applyAlignment="1">
      <alignment horizontal="center" vertical="center"/>
    </xf>
    <xf numFmtId="0" fontId="14" fillId="8" borderId="17" xfId="0" applyFont="1" applyFill="1" applyBorder="1" applyAlignment="1">
      <alignment horizontal="center" vertical="center"/>
    </xf>
    <xf numFmtId="0" fontId="14" fillId="9" borderId="17" xfId="0" applyFont="1" applyFill="1" applyBorder="1" applyAlignment="1">
      <alignment horizontal="center" vertical="center"/>
    </xf>
    <xf numFmtId="0" fontId="13" fillId="10" borderId="17" xfId="0" applyFont="1" applyFill="1" applyBorder="1" applyAlignment="1">
      <alignment horizontal="center" vertical="center"/>
    </xf>
    <xf numFmtId="0" fontId="11" fillId="0" borderId="17" xfId="0" applyFont="1" applyBorder="1" applyAlignment="1">
      <alignment vertical="center"/>
    </xf>
    <xf numFmtId="0" fontId="14" fillId="11" borderId="17" xfId="0" applyFont="1" applyFill="1" applyBorder="1" applyAlignment="1">
      <alignment horizontal="center" vertical="center"/>
    </xf>
    <xf numFmtId="0" fontId="11" fillId="4" borderId="18" xfId="0" applyFont="1" applyFill="1" applyBorder="1" applyAlignment="1">
      <alignment vertical="center"/>
    </xf>
    <xf numFmtId="0" fontId="11" fillId="0" borderId="16" xfId="0" applyFont="1" applyBorder="1" applyAlignment="1">
      <alignment vertical="center"/>
    </xf>
    <xf numFmtId="0" fontId="11" fillId="0" borderId="15" xfId="0" applyFont="1" applyBorder="1" applyAlignment="1">
      <alignment vertical="center"/>
    </xf>
    <xf numFmtId="0" fontId="15" fillId="7" borderId="17" xfId="0" applyFont="1" applyFill="1" applyBorder="1" applyAlignment="1">
      <alignment horizontal="center" vertical="center"/>
    </xf>
    <xf numFmtId="0" fontId="15" fillId="8" borderId="17" xfId="0" applyFont="1" applyFill="1" applyBorder="1" applyAlignment="1">
      <alignment horizontal="center" vertical="center"/>
    </xf>
    <xf numFmtId="0" fontId="15" fillId="11" borderId="17" xfId="0" applyFont="1" applyFill="1" applyBorder="1" applyAlignment="1">
      <alignment horizontal="center" vertical="center"/>
    </xf>
    <xf numFmtId="0" fontId="14" fillId="0" borderId="17" xfId="0" applyFont="1" applyBorder="1" applyAlignment="1">
      <alignment horizontal="center" vertical="center"/>
    </xf>
    <xf numFmtId="0" fontId="16" fillId="7" borderId="17" xfId="0" applyFont="1" applyFill="1" applyBorder="1" applyAlignment="1">
      <alignment horizontal="center" vertical="center"/>
    </xf>
    <xf numFmtId="0" fontId="16" fillId="8" borderId="17" xfId="0" applyFont="1" applyFill="1" applyBorder="1" applyAlignment="1">
      <alignment horizontal="center" vertical="center"/>
    </xf>
    <xf numFmtId="0" fontId="16" fillId="9" borderId="17" xfId="0" applyFont="1" applyFill="1" applyBorder="1" applyAlignment="1">
      <alignment horizontal="center" vertical="center"/>
    </xf>
    <xf numFmtId="0" fontId="13" fillId="12" borderId="17" xfId="0" applyFont="1" applyFill="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vertical="center" wrapText="1"/>
    </xf>
    <xf numFmtId="0" fontId="11" fillId="13" borderId="0" xfId="0" applyFont="1" applyFill="1" applyAlignment="1">
      <alignment vertical="center" wrapText="1"/>
    </xf>
    <xf numFmtId="0" fontId="11" fillId="0" borderId="0" xfId="0" applyFont="1" applyAlignment="1" applyProtection="1">
      <alignment vertical="center"/>
      <protection locked="0"/>
    </xf>
    <xf numFmtId="0" fontId="11" fillId="0" borderId="0" xfId="0" applyFont="1" applyAlignment="1">
      <alignment horizontal="center" vertical="center"/>
    </xf>
    <xf numFmtId="0" fontId="11" fillId="0" borderId="0" xfId="0" applyFont="1" applyAlignment="1">
      <alignment horizontal="justify" vertical="center"/>
    </xf>
    <xf numFmtId="0" fontId="12" fillId="5" borderId="17" xfId="0" applyFont="1" applyFill="1" applyBorder="1" applyAlignment="1">
      <alignment horizontal="center" vertical="center"/>
    </xf>
    <xf numFmtId="0" fontId="18" fillId="0" borderId="17" xfId="0" applyFont="1" applyBorder="1" applyAlignment="1">
      <alignment horizontal="center" vertical="center" wrapText="1"/>
    </xf>
    <xf numFmtId="0" fontId="19" fillId="0" borderId="17" xfId="0" applyFont="1" applyBorder="1" applyAlignment="1" applyProtection="1">
      <alignment horizontal="center" vertical="center"/>
      <protection locked="0"/>
    </xf>
    <xf numFmtId="0" fontId="19" fillId="0" borderId="22" xfId="0" applyFont="1" applyBorder="1" applyAlignment="1">
      <alignment horizontal="left" vertical="top" wrapText="1"/>
    </xf>
    <xf numFmtId="0" fontId="19" fillId="0" borderId="17" xfId="0" applyFont="1" applyBorder="1" applyAlignment="1">
      <alignment horizontal="left" vertical="top" wrapText="1"/>
    </xf>
    <xf numFmtId="0" fontId="19" fillId="13" borderId="17" xfId="0" applyFont="1" applyFill="1" applyBorder="1" applyAlignment="1" applyProtection="1">
      <alignment horizontal="center" vertical="center"/>
      <protection locked="0"/>
    </xf>
    <xf numFmtId="0" fontId="19" fillId="13" borderId="22" xfId="0" applyFont="1" applyFill="1" applyBorder="1" applyAlignment="1">
      <alignment horizontal="left" vertical="top" wrapText="1"/>
    </xf>
    <xf numFmtId="0" fontId="19" fillId="13" borderId="1" xfId="0" applyFont="1" applyFill="1" applyBorder="1" applyAlignment="1" applyProtection="1">
      <alignment horizontal="center" vertical="center"/>
      <protection locked="0"/>
    </xf>
    <xf numFmtId="0" fontId="19" fillId="13" borderId="24" xfId="0" applyFont="1" applyFill="1" applyBorder="1" applyAlignment="1">
      <alignment horizontal="left" vertical="top" wrapText="1"/>
    </xf>
    <xf numFmtId="0" fontId="19" fillId="0" borderId="12" xfId="0" applyFont="1" applyBorder="1" applyAlignment="1">
      <alignment horizontal="left" vertical="top" wrapText="1"/>
    </xf>
    <xf numFmtId="0" fontId="19" fillId="0" borderId="25" xfId="0" applyFont="1" applyBorder="1" applyAlignment="1" applyProtection="1">
      <alignment horizontal="center" vertical="center"/>
      <protection locked="0"/>
    </xf>
    <xf numFmtId="0" fontId="19" fillId="0" borderId="26" xfId="0" applyFont="1" applyBorder="1" applyAlignment="1">
      <alignment horizontal="left" vertical="top" wrapText="1"/>
    </xf>
    <xf numFmtId="0" fontId="21" fillId="0" borderId="22" xfId="0" applyFont="1" applyBorder="1" applyAlignment="1">
      <alignment horizontal="left" vertical="top" wrapText="1"/>
    </xf>
    <xf numFmtId="0" fontId="19" fillId="0" borderId="17" xfId="0" applyFont="1" applyBorder="1" applyAlignment="1">
      <alignment horizontal="center" vertical="center"/>
    </xf>
    <xf numFmtId="0" fontId="19" fillId="0" borderId="21" xfId="0" applyFont="1" applyBorder="1" applyAlignment="1">
      <alignment horizontal="left" vertical="top" wrapText="1"/>
    </xf>
    <xf numFmtId="0" fontId="19" fillId="13" borderId="17" xfId="0" applyFont="1" applyFill="1" applyBorder="1" applyAlignment="1">
      <alignment horizontal="center" vertical="center"/>
    </xf>
    <xf numFmtId="0" fontId="19" fillId="13" borderId="21" xfId="0" applyFont="1" applyFill="1" applyBorder="1" applyAlignment="1">
      <alignment horizontal="left" vertical="top" wrapText="1"/>
    </xf>
    <xf numFmtId="0" fontId="19" fillId="13" borderId="17" xfId="0" applyFont="1" applyFill="1" applyBorder="1" applyAlignment="1" applyProtection="1">
      <alignment horizontal="left" vertical="center" wrapText="1"/>
      <protection locked="0"/>
    </xf>
    <xf numFmtId="0" fontId="19" fillId="0" borderId="17" xfId="0" applyFont="1" applyBorder="1" applyAlignment="1" applyProtection="1">
      <alignment horizontal="left" vertical="center" wrapText="1"/>
      <protection locked="0"/>
    </xf>
    <xf numFmtId="0" fontId="19" fillId="0" borderId="17" xfId="0" applyFont="1" applyBorder="1" applyAlignment="1" applyProtection="1">
      <alignment horizontal="center" vertical="center" wrapText="1"/>
      <protection locked="0"/>
    </xf>
    <xf numFmtId="0" fontId="19" fillId="0" borderId="17" xfId="0" applyFont="1" applyBorder="1" applyAlignment="1" applyProtection="1">
      <alignment vertical="center"/>
      <protection locked="0"/>
    </xf>
    <xf numFmtId="0" fontId="11" fillId="0" borderId="0" xfId="0" applyFont="1" applyAlignment="1">
      <alignment vertical="justify"/>
    </xf>
    <xf numFmtId="0" fontId="10" fillId="0" borderId="12" xfId="0" applyFont="1" applyBorder="1" applyAlignment="1">
      <alignment horizontal="center" vertical="center"/>
    </xf>
    <xf numFmtId="0" fontId="11" fillId="0" borderId="14" xfId="0" applyFont="1" applyBorder="1" applyAlignment="1">
      <alignment vertical="center"/>
    </xf>
    <xf numFmtId="0" fontId="8" fillId="4" borderId="17" xfId="0" applyFont="1" applyFill="1" applyBorder="1" applyAlignment="1">
      <alignment horizontal="left" vertical="center"/>
    </xf>
    <xf numFmtId="0" fontId="13" fillId="4" borderId="17" xfId="0" applyFont="1" applyFill="1" applyBorder="1" applyAlignment="1">
      <alignment vertical="center"/>
    </xf>
    <xf numFmtId="165" fontId="19" fillId="0" borderId="17" xfId="0" applyNumberFormat="1" applyFont="1" applyBorder="1" applyAlignment="1" applyProtection="1">
      <alignment horizontal="center" vertical="center"/>
      <protection locked="0"/>
    </xf>
    <xf numFmtId="166" fontId="19" fillId="0" borderId="17" xfId="0" applyNumberFormat="1" applyFont="1" applyBorder="1" applyAlignment="1" applyProtection="1">
      <alignment horizontal="center" vertical="center"/>
      <protection locked="0"/>
    </xf>
    <xf numFmtId="0" fontId="15" fillId="0" borderId="17" xfId="0" applyFont="1" applyBorder="1" applyAlignment="1">
      <alignment horizontal="center" vertical="center"/>
    </xf>
    <xf numFmtId="0" fontId="15" fillId="0" borderId="17" xfId="0" applyFont="1" applyBorder="1" applyAlignment="1" applyProtection="1">
      <alignment horizontal="center" vertical="center"/>
      <protection locked="0"/>
    </xf>
    <xf numFmtId="0" fontId="29" fillId="5" borderId="16" xfId="0" applyFont="1" applyFill="1" applyBorder="1" applyAlignment="1">
      <alignment vertical="justify"/>
    </xf>
    <xf numFmtId="0" fontId="11" fillId="5" borderId="0" xfId="0" applyFont="1" applyFill="1" applyAlignment="1">
      <alignment vertical="justify"/>
    </xf>
    <xf numFmtId="0" fontId="11" fillId="5" borderId="15" xfId="0" applyFont="1" applyFill="1" applyBorder="1" applyAlignment="1">
      <alignment vertical="justify"/>
    </xf>
    <xf numFmtId="0" fontId="29" fillId="5" borderId="20" xfId="0" applyFont="1" applyFill="1" applyBorder="1" applyAlignment="1">
      <alignment vertical="justify"/>
    </xf>
    <xf numFmtId="0" fontId="11" fillId="5" borderId="19" xfId="0" applyFont="1" applyFill="1" applyBorder="1" applyAlignment="1">
      <alignment vertical="justify"/>
    </xf>
    <xf numFmtId="0" fontId="11" fillId="5" borderId="18" xfId="0" applyFont="1" applyFill="1" applyBorder="1" applyAlignment="1">
      <alignment vertical="justify"/>
    </xf>
    <xf numFmtId="0" fontId="11" fillId="5" borderId="9" xfId="0" applyFont="1" applyFill="1" applyBorder="1" applyAlignment="1">
      <alignment vertical="justify"/>
    </xf>
    <xf numFmtId="0" fontId="11" fillId="5" borderId="11" xfId="0" applyFont="1" applyFill="1" applyBorder="1" applyAlignment="1">
      <alignment vertical="justify"/>
    </xf>
    <xf numFmtId="0" fontId="11" fillId="5" borderId="16" xfId="0" applyFont="1" applyFill="1" applyBorder="1" applyAlignment="1">
      <alignment vertical="justify"/>
    </xf>
    <xf numFmtId="0" fontId="11" fillId="5" borderId="20" xfId="0" applyFont="1" applyFill="1" applyBorder="1" applyAlignment="1">
      <alignment vertical="justify"/>
    </xf>
    <xf numFmtId="0" fontId="19" fillId="0" borderId="17" xfId="0" applyFont="1" applyBorder="1" applyAlignment="1" applyProtection="1">
      <alignment horizontal="left" vertical="center"/>
      <protection locked="0"/>
    </xf>
    <xf numFmtId="0" fontId="19" fillId="0" borderId="17" xfId="0" applyFont="1" applyBorder="1" applyAlignment="1" applyProtection="1">
      <alignment horizontal="justify" vertical="center"/>
      <protection locked="0"/>
    </xf>
    <xf numFmtId="0" fontId="31" fillId="5" borderId="9" xfId="0" applyFont="1" applyFill="1" applyBorder="1" applyAlignment="1">
      <alignment horizontal="left" vertical="center"/>
    </xf>
    <xf numFmtId="0" fontId="31" fillId="5" borderId="10" xfId="0" applyFont="1" applyFill="1" applyBorder="1" applyAlignment="1">
      <alignment horizontal="left" vertical="center"/>
    </xf>
    <xf numFmtId="0" fontId="31" fillId="5" borderId="11" xfId="0" applyFont="1" applyFill="1" applyBorder="1" applyAlignment="1">
      <alignment horizontal="left" vertical="center"/>
    </xf>
    <xf numFmtId="0" fontId="31" fillId="5" borderId="15" xfId="0" applyFont="1" applyFill="1" applyBorder="1" applyAlignment="1">
      <alignment horizontal="left" vertical="center"/>
    </xf>
    <xf numFmtId="0" fontId="31" fillId="5" borderId="20" xfId="0" applyFont="1" applyFill="1" applyBorder="1" applyAlignment="1">
      <alignment horizontal="left" vertical="center"/>
    </xf>
    <xf numFmtId="0" fontId="31" fillId="5" borderId="19" xfId="0" applyFont="1" applyFill="1" applyBorder="1" applyAlignment="1">
      <alignment horizontal="left" vertical="center"/>
    </xf>
    <xf numFmtId="0" fontId="31" fillId="5" borderId="18" xfId="0" applyFont="1" applyFill="1" applyBorder="1" applyAlignment="1">
      <alignment horizontal="left" vertical="center"/>
    </xf>
    <xf numFmtId="0" fontId="32" fillId="0" borderId="25" xfId="0" applyFont="1" applyBorder="1" applyAlignment="1">
      <alignment horizontal="center" vertical="center"/>
    </xf>
    <xf numFmtId="0" fontId="37" fillId="0" borderId="17" xfId="4" applyFont="1" applyBorder="1" applyAlignment="1">
      <alignment horizontal="left" vertical="top" wrapText="1"/>
    </xf>
    <xf numFmtId="0" fontId="37" fillId="0" borderId="17" xfId="0" applyFont="1" applyBorder="1" applyAlignment="1">
      <alignment horizontal="left" vertical="top" wrapText="1"/>
    </xf>
    <xf numFmtId="0" fontId="37" fillId="0" borderId="17" xfId="0" applyFont="1" applyBorder="1" applyAlignment="1" applyProtection="1">
      <alignment horizontal="left" vertical="top" wrapText="1"/>
      <protection locked="0"/>
    </xf>
    <xf numFmtId="0" fontId="38" fillId="0" borderId="17" xfId="0" applyFont="1" applyBorder="1" applyAlignment="1" applyProtection="1">
      <alignment horizontal="left" vertical="top" wrapText="1"/>
      <protection locked="0"/>
    </xf>
    <xf numFmtId="0" fontId="39" fillId="0" borderId="17" xfId="0" applyFont="1" applyBorder="1" applyAlignment="1" applyProtection="1">
      <alignment horizontal="left" vertical="top" wrapText="1"/>
      <protection locked="0"/>
    </xf>
    <xf numFmtId="0" fontId="40" fillId="0" borderId="17" xfId="0" applyFont="1" applyBorder="1" applyAlignment="1">
      <alignment horizontal="left" vertical="top" wrapText="1"/>
    </xf>
    <xf numFmtId="0" fontId="34" fillId="0" borderId="0" xfId="0" applyFont="1" applyAlignment="1">
      <alignment vertical="center"/>
    </xf>
    <xf numFmtId="0" fontId="19" fillId="0" borderId="1" xfId="0" applyFont="1" applyBorder="1" applyAlignment="1">
      <alignment horizontal="center" vertical="center"/>
    </xf>
    <xf numFmtId="0" fontId="19" fillId="0" borderId="1" xfId="0" applyFont="1" applyBorder="1" applyAlignment="1" applyProtection="1">
      <alignment horizontal="center" vertical="center"/>
      <protection locked="0"/>
    </xf>
    <xf numFmtId="0" fontId="41" fillId="0" borderId="17" xfId="0" applyFont="1" applyBorder="1" applyAlignment="1">
      <alignment vertical="center"/>
    </xf>
    <xf numFmtId="0" fontId="41" fillId="0" borderId="17" xfId="0" applyFont="1" applyBorder="1" applyAlignment="1">
      <alignment horizontal="left" vertical="top" wrapText="1"/>
    </xf>
    <xf numFmtId="0" fontId="42" fillId="0" borderId="17" xfId="0" applyFont="1" applyBorder="1" applyAlignment="1">
      <alignment horizontal="left" vertical="top" wrapText="1"/>
    </xf>
    <xf numFmtId="0" fontId="43" fillId="0" borderId="17" xfId="0" applyFont="1" applyBorder="1" applyAlignment="1" applyProtection="1">
      <alignment horizontal="left" vertical="center" wrapText="1"/>
      <protection locked="0"/>
    </xf>
    <xf numFmtId="0" fontId="43" fillId="0" borderId="17" xfId="0" applyFont="1" applyBorder="1" applyAlignment="1" applyProtection="1">
      <alignment horizontal="center" vertical="center" wrapText="1"/>
      <protection locked="0"/>
    </xf>
    <xf numFmtId="15" fontId="43" fillId="0" borderId="17" xfId="0" applyNumberFormat="1" applyFont="1" applyBorder="1" applyAlignment="1" applyProtection="1">
      <alignment horizontal="center" vertical="center" wrapText="1"/>
      <protection locked="0"/>
    </xf>
    <xf numFmtId="0" fontId="43" fillId="0" borderId="17" xfId="0" quotePrefix="1" applyFont="1" applyBorder="1" applyAlignment="1" applyProtection="1">
      <alignment horizontal="left" vertical="center" wrapText="1"/>
      <protection locked="0"/>
    </xf>
    <xf numFmtId="0" fontId="44" fillId="0" borderId="17" xfId="0" applyFont="1" applyBorder="1" applyAlignment="1" applyProtection="1">
      <alignment horizontal="center" vertical="center" wrapText="1"/>
      <protection locked="0"/>
    </xf>
    <xf numFmtId="0" fontId="45" fillId="0" borderId="21" xfId="0" applyFont="1" applyBorder="1" applyAlignment="1">
      <alignment horizontal="center" vertical="center" wrapText="1"/>
    </xf>
    <xf numFmtId="0" fontId="46" fillId="0" borderId="21" xfId="0" applyFont="1" applyBorder="1" applyAlignment="1">
      <alignment horizontal="center" vertical="center" wrapText="1"/>
    </xf>
    <xf numFmtId="0" fontId="47" fillId="0" borderId="21" xfId="0" applyFont="1" applyBorder="1" applyAlignment="1">
      <alignment horizontal="center" vertical="center" wrapText="1"/>
    </xf>
    <xf numFmtId="0" fontId="41" fillId="0" borderId="21" xfId="0" applyFont="1" applyBorder="1" applyAlignment="1">
      <alignment horizontal="left" vertical="top" wrapText="1"/>
    </xf>
    <xf numFmtId="0" fontId="37" fillId="0" borderId="21" xfId="0" applyFont="1" applyBorder="1" applyAlignment="1">
      <alignment horizontal="left" vertical="top" wrapText="1"/>
    </xf>
    <xf numFmtId="0" fontId="37" fillId="0" borderId="1" xfId="0" applyFont="1" applyBorder="1" applyAlignment="1">
      <alignment horizontal="left" vertical="top" wrapText="1"/>
    </xf>
    <xf numFmtId="0" fontId="45" fillId="0" borderId="23" xfId="0" applyFont="1" applyBorder="1" applyAlignment="1">
      <alignment horizontal="center" vertical="center" wrapText="1"/>
    </xf>
    <xf numFmtId="0" fontId="47" fillId="0" borderId="23" xfId="0" applyFont="1" applyBorder="1" applyAlignment="1">
      <alignment horizontal="center" vertical="center" wrapText="1"/>
    </xf>
    <xf numFmtId="0" fontId="41" fillId="0" borderId="1" xfId="0" applyFont="1" applyBorder="1" applyAlignment="1">
      <alignment vertical="center"/>
    </xf>
    <xf numFmtId="0" fontId="48" fillId="0" borderId="17" xfId="7" applyFont="1" applyBorder="1" applyAlignment="1">
      <alignment horizontal="left" vertical="top" wrapText="1"/>
    </xf>
    <xf numFmtId="0" fontId="48" fillId="0" borderId="17" xfId="7" applyFont="1" applyBorder="1" applyAlignment="1" applyProtection="1">
      <alignment horizontal="left" vertical="top" wrapText="1"/>
      <protection locked="0"/>
    </xf>
    <xf numFmtId="0" fontId="49" fillId="0" borderId="21" xfId="0" applyFont="1" applyBorder="1" applyAlignment="1">
      <alignment horizontal="left" wrapText="1"/>
    </xf>
    <xf numFmtId="0" fontId="42" fillId="0" borderId="28" xfId="0" applyFont="1" applyBorder="1" applyAlignment="1">
      <alignment horizontal="center" vertical="center"/>
    </xf>
    <xf numFmtId="0" fontId="42" fillId="0" borderId="21" xfId="0" applyFont="1" applyBorder="1" applyAlignment="1">
      <alignment horizontal="center" vertical="center"/>
    </xf>
    <xf numFmtId="0" fontId="34" fillId="0" borderId="21" xfId="0" applyFont="1" applyBorder="1" applyAlignment="1">
      <alignment vertical="center"/>
    </xf>
    <xf numFmtId="0" fontId="37" fillId="0" borderId="23" xfId="0" applyFont="1" applyBorder="1" applyAlignment="1">
      <alignment horizontal="left" vertical="top" wrapText="1"/>
    </xf>
    <xf numFmtId="0" fontId="11" fillId="0" borderId="1" xfId="0" applyFont="1" applyBorder="1" applyAlignment="1">
      <alignment vertical="center"/>
    </xf>
    <xf numFmtId="0" fontId="52" fillId="0" borderId="21" xfId="0" applyFont="1" applyBorder="1" applyAlignment="1">
      <alignment horizontal="left" vertical="center" wrapText="1"/>
    </xf>
    <xf numFmtId="0" fontId="42" fillId="0" borderId="21" xfId="0" applyFont="1" applyBorder="1" applyAlignment="1">
      <alignment horizontal="left" vertical="center" wrapText="1"/>
    </xf>
    <xf numFmtId="0" fontId="34" fillId="0" borderId="21" xfId="0" applyFont="1" applyBorder="1" applyAlignment="1">
      <alignment vertical="center" wrapText="1"/>
    </xf>
    <xf numFmtId="0" fontId="43" fillId="16" borderId="17" xfId="0" applyFont="1" applyFill="1" applyBorder="1" applyAlignment="1">
      <alignment horizontal="left" vertical="center" wrapText="1"/>
    </xf>
    <xf numFmtId="0" fontId="43" fillId="7" borderId="17" xfId="0" applyFont="1" applyFill="1" applyBorder="1" applyAlignment="1">
      <alignment horizontal="left" vertical="center" wrapText="1"/>
    </xf>
    <xf numFmtId="0" fontId="43" fillId="0" borderId="17" xfId="0" applyFont="1" applyBorder="1" applyAlignment="1">
      <alignment horizontal="left" vertical="center"/>
    </xf>
    <xf numFmtId="0" fontId="34" fillId="0" borderId="17" xfId="0" applyFont="1" applyBorder="1" applyAlignment="1">
      <alignment vertical="center"/>
    </xf>
    <xf numFmtId="0" fontId="43" fillId="7" borderId="17" xfId="0" applyFont="1" applyFill="1" applyBorder="1" applyAlignment="1">
      <alignment vertical="center"/>
    </xf>
    <xf numFmtId="0" fontId="43" fillId="7" borderId="17" xfId="0" applyFont="1" applyFill="1" applyBorder="1" applyAlignment="1">
      <alignment vertical="center" wrapText="1"/>
    </xf>
    <xf numFmtId="0" fontId="43" fillId="0" borderId="27" xfId="0" applyFont="1" applyBorder="1" applyAlignment="1">
      <alignment vertical="center"/>
    </xf>
    <xf numFmtId="0" fontId="43" fillId="0" borderId="27" xfId="0" applyFont="1" applyBorder="1" applyAlignment="1">
      <alignment vertical="center" wrapText="1"/>
    </xf>
    <xf numFmtId="0" fontId="43" fillId="0" borderId="25" xfId="0" applyFont="1" applyBorder="1" applyAlignment="1">
      <alignment vertical="center"/>
    </xf>
    <xf numFmtId="0" fontId="43" fillId="0" borderId="25" xfId="0" applyFont="1" applyBorder="1" applyAlignment="1">
      <alignment vertical="center" wrapText="1"/>
    </xf>
    <xf numFmtId="0" fontId="19" fillId="0" borderId="12" xfId="0" applyFont="1" applyBorder="1" applyAlignment="1" applyProtection="1">
      <alignment horizontal="left" vertical="center" wrapText="1"/>
      <protection locked="0"/>
    </xf>
    <xf numFmtId="0" fontId="15" fillId="0" borderId="12" xfId="0" applyFont="1" applyBorder="1" applyAlignment="1" applyProtection="1">
      <alignment horizontal="left" vertical="center" wrapText="1"/>
      <protection locked="0"/>
    </xf>
    <xf numFmtId="0" fontId="26" fillId="0" borderId="12" xfId="0" applyFont="1" applyBorder="1" applyAlignment="1" applyProtection="1">
      <alignment horizontal="left" vertical="center" wrapText="1"/>
      <protection locked="0"/>
    </xf>
    <xf numFmtId="0" fontId="26" fillId="13" borderId="12" xfId="0" applyFont="1" applyFill="1" applyBorder="1" applyAlignment="1" applyProtection="1">
      <alignment horizontal="left" vertical="center" wrapText="1"/>
      <protection locked="0"/>
    </xf>
    <xf numFmtId="0" fontId="19" fillId="13" borderId="12" xfId="0" quotePrefix="1" applyFont="1" applyFill="1" applyBorder="1" applyAlignment="1" applyProtection="1">
      <alignment horizontal="left" vertical="center" wrapText="1"/>
      <protection locked="0"/>
    </xf>
    <xf numFmtId="0" fontId="19" fillId="0" borderId="12" xfId="0" quotePrefix="1" applyFont="1" applyBorder="1" applyAlignment="1" applyProtection="1">
      <alignment horizontal="left" vertical="center" wrapText="1"/>
      <protection locked="0"/>
    </xf>
    <xf numFmtId="0" fontId="19" fillId="13" borderId="12" xfId="0" applyFont="1" applyFill="1" applyBorder="1" applyAlignment="1" applyProtection="1">
      <alignment horizontal="left" vertical="center" wrapText="1"/>
      <protection locked="0"/>
    </xf>
    <xf numFmtId="0" fontId="11" fillId="0" borderId="17" xfId="0" applyFont="1" applyBorder="1" applyAlignment="1">
      <alignment vertical="center" wrapText="1"/>
    </xf>
    <xf numFmtId="0" fontId="11" fillId="13" borderId="17" xfId="0" applyFont="1" applyFill="1" applyBorder="1" applyAlignment="1">
      <alignment vertical="center" wrapText="1"/>
    </xf>
    <xf numFmtId="0" fontId="34" fillId="0" borderId="17" xfId="0" applyFont="1" applyBorder="1" applyAlignment="1">
      <alignment vertical="center" wrapText="1"/>
    </xf>
    <xf numFmtId="0" fontId="0" fillId="0" borderId="17" xfId="0" applyBorder="1" applyAlignment="1">
      <alignment wrapText="1"/>
    </xf>
    <xf numFmtId="0" fontId="0" fillId="0" borderId="17" xfId="0" applyBorder="1"/>
    <xf numFmtId="0" fontId="49" fillId="0" borderId="21" xfId="0" applyFont="1" applyBorder="1" applyAlignment="1">
      <alignment horizontal="left" vertical="top"/>
    </xf>
    <xf numFmtId="0" fontId="56" fillId="0" borderId="21" xfId="0" applyFont="1" applyBorder="1" applyAlignment="1">
      <alignment horizontal="left" vertical="top" wrapText="1"/>
    </xf>
    <xf numFmtId="0" fontId="42" fillId="0" borderId="21" xfId="0" applyFont="1" applyBorder="1" applyAlignment="1">
      <alignment horizontal="left" vertical="top" wrapText="1"/>
    </xf>
    <xf numFmtId="15" fontId="42" fillId="0" borderId="21" xfId="0" applyNumberFormat="1" applyFont="1" applyBorder="1" applyAlignment="1">
      <alignment horizontal="left" vertical="top" wrapText="1"/>
    </xf>
    <xf numFmtId="0" fontId="34" fillId="0" borderId="23" xfId="0" applyFont="1" applyBorder="1" applyAlignment="1">
      <alignment vertical="center"/>
    </xf>
    <xf numFmtId="0" fontId="34" fillId="0" borderId="0" xfId="0" applyFont="1" applyAlignment="1">
      <alignment horizontal="center" vertical="center" wrapText="1"/>
    </xf>
    <xf numFmtId="0" fontId="42" fillId="0" borderId="21" xfId="0" applyFont="1" applyBorder="1" applyAlignment="1">
      <alignment horizontal="center" vertical="center" wrapText="1"/>
    </xf>
    <xf numFmtId="0" fontId="34" fillId="0" borderId="21" xfId="0" applyFont="1" applyBorder="1" applyAlignment="1">
      <alignment horizontal="center" vertical="center"/>
    </xf>
    <xf numFmtId="0" fontId="56" fillId="0" borderId="21" xfId="0" applyFont="1" applyBorder="1" applyAlignment="1">
      <alignment horizontal="left" vertical="center" wrapText="1"/>
    </xf>
    <xf numFmtId="16" fontId="42" fillId="0" borderId="21" xfId="0" applyNumberFormat="1" applyFont="1" applyBorder="1" applyAlignment="1">
      <alignment horizontal="left" vertical="top" wrapText="1"/>
    </xf>
    <xf numFmtId="17" fontId="42" fillId="0" borderId="21" xfId="0" applyNumberFormat="1" applyFont="1" applyBorder="1" applyAlignment="1">
      <alignment horizontal="left" vertical="top" wrapText="1"/>
    </xf>
    <xf numFmtId="0" fontId="57" fillId="0" borderId="21" xfId="0" applyFont="1" applyBorder="1" applyAlignment="1">
      <alignment horizontal="left" vertical="top" wrapText="1"/>
    </xf>
    <xf numFmtId="0" fontId="58" fillId="0" borderId="21" xfId="0" applyFont="1" applyBorder="1" applyAlignment="1">
      <alignment horizontal="left" vertical="top" wrapText="1"/>
    </xf>
    <xf numFmtId="17" fontId="56" fillId="0" borderId="21" xfId="0" applyNumberFormat="1" applyFont="1" applyBorder="1" applyAlignment="1">
      <alignment horizontal="left" vertical="top" wrapText="1"/>
    </xf>
    <xf numFmtId="0" fontId="56" fillId="0" borderId="21" xfId="0" applyFont="1" applyBorder="1" applyAlignment="1">
      <alignment horizontal="left" vertical="top"/>
    </xf>
    <xf numFmtId="0" fontId="5" fillId="0" borderId="17" xfId="0" applyFont="1" applyBorder="1"/>
    <xf numFmtId="0" fontId="21" fillId="0" borderId="21" xfId="0" applyFont="1" applyBorder="1" applyAlignment="1">
      <alignment vertical="center" wrapText="1"/>
    </xf>
    <xf numFmtId="0" fontId="21" fillId="0" borderId="21" xfId="0" applyFont="1" applyBorder="1" applyAlignment="1">
      <alignment horizontal="center" vertical="center" wrapText="1"/>
    </xf>
    <xf numFmtId="0" fontId="21" fillId="0" borderId="21" xfId="0" applyFont="1" applyBorder="1" applyAlignment="1">
      <alignment horizontal="left" vertical="center" wrapText="1"/>
    </xf>
    <xf numFmtId="0" fontId="21" fillId="0" borderId="21" xfId="0" applyFont="1" applyBorder="1" applyAlignment="1">
      <alignment horizontal="left" vertical="top" wrapText="1"/>
    </xf>
    <xf numFmtId="0" fontId="19" fillId="0" borderId="1" xfId="0" applyFont="1" applyBorder="1" applyAlignment="1" applyProtection="1">
      <alignment vertical="center"/>
      <protection locked="0"/>
    </xf>
    <xf numFmtId="0" fontId="49" fillId="0" borderId="23" xfId="0" applyFont="1" applyBorder="1" applyAlignment="1">
      <alignment horizontal="left" vertical="top"/>
    </xf>
    <xf numFmtId="0" fontId="21" fillId="0" borderId="17" xfId="0" applyFont="1" applyBorder="1" applyAlignment="1" applyProtection="1">
      <alignment horizontal="left" vertical="center" wrapText="1"/>
      <protection locked="0"/>
    </xf>
    <xf numFmtId="0" fontId="4" fillId="0" borderId="17" xfId="0" applyFont="1" applyBorder="1" applyAlignment="1">
      <alignment vertical="center" wrapText="1"/>
    </xf>
    <xf numFmtId="0" fontId="19" fillId="0" borderId="17" xfId="0" quotePrefix="1" applyFont="1" applyBorder="1" applyAlignment="1" applyProtection="1">
      <alignment horizontal="left" vertical="center" wrapText="1"/>
      <protection locked="0"/>
    </xf>
    <xf numFmtId="17" fontId="19" fillId="0" borderId="17" xfId="0" applyNumberFormat="1" applyFont="1" applyBorder="1" applyAlignment="1" applyProtection="1">
      <alignment horizontal="center" vertical="center" wrapText="1"/>
      <protection locked="0"/>
    </xf>
    <xf numFmtId="0" fontId="21" fillId="0" borderId="28" xfId="0" applyFont="1" applyBorder="1" applyAlignment="1">
      <alignment horizontal="center" vertical="center"/>
    </xf>
    <xf numFmtId="0" fontId="21" fillId="0" borderId="21" xfId="0" applyFont="1" applyBorder="1" applyAlignment="1">
      <alignment horizontal="center" vertical="center"/>
    </xf>
    <xf numFmtId="0" fontId="14" fillId="0" borderId="21" xfId="0" applyFont="1" applyBorder="1" applyAlignment="1">
      <alignment horizontal="left" vertical="top" wrapText="1"/>
    </xf>
    <xf numFmtId="14" fontId="21" fillId="0" borderId="21" xfId="0" applyNumberFormat="1" applyFont="1" applyBorder="1" applyAlignment="1">
      <alignment horizontal="left" vertical="top" wrapText="1"/>
    </xf>
    <xf numFmtId="15" fontId="21" fillId="0" borderId="21" xfId="0" applyNumberFormat="1" applyFont="1" applyBorder="1" applyAlignment="1">
      <alignment horizontal="left" vertical="top" wrapText="1"/>
    </xf>
    <xf numFmtId="17" fontId="21" fillId="0" borderId="21" xfId="0" applyNumberFormat="1" applyFont="1" applyBorder="1" applyAlignment="1">
      <alignment horizontal="left" vertical="top" wrapText="1"/>
    </xf>
    <xf numFmtId="0" fontId="21" fillId="0" borderId="21" xfId="0" applyFont="1" applyBorder="1" applyAlignment="1">
      <alignment horizontal="left" vertical="center"/>
    </xf>
    <xf numFmtId="14" fontId="21" fillId="0" borderId="21" xfId="0" applyNumberFormat="1" applyFont="1" applyBorder="1" applyAlignment="1">
      <alignment horizontal="center" vertical="center" wrapText="1"/>
    </xf>
    <xf numFmtId="0" fontId="15" fillId="16" borderId="17" xfId="0" applyFont="1" applyFill="1" applyBorder="1" applyAlignment="1">
      <alignment horizontal="left" vertical="center" wrapText="1"/>
    </xf>
    <xf numFmtId="15" fontId="15" fillId="0" borderId="17" xfId="0" applyNumberFormat="1" applyFont="1" applyBorder="1" applyAlignment="1" applyProtection="1">
      <alignment horizontal="center" vertical="center" wrapText="1"/>
      <protection locked="0"/>
    </xf>
    <xf numFmtId="0" fontId="11" fillId="0" borderId="1" xfId="0" applyFont="1" applyBorder="1" applyAlignment="1">
      <alignment vertical="center" wrapText="1"/>
    </xf>
    <xf numFmtId="0" fontId="15" fillId="0" borderId="17" xfId="0" applyFont="1" applyBorder="1" applyAlignment="1">
      <alignment horizontal="left" vertical="center"/>
    </xf>
    <xf numFmtId="0" fontId="19" fillId="0" borderId="25" xfId="0" applyFont="1" applyBorder="1" applyAlignment="1">
      <alignment horizontal="center" vertical="center"/>
    </xf>
    <xf numFmtId="0" fontId="19" fillId="8" borderId="17" xfId="0" applyFont="1" applyFill="1" applyBorder="1" applyAlignment="1">
      <alignment horizontal="center" vertical="center"/>
    </xf>
    <xf numFmtId="0" fontId="43" fillId="0" borderId="0" xfId="0" applyFont="1" applyAlignment="1">
      <alignment vertical="center" wrapText="1"/>
    </xf>
    <xf numFmtId="0" fontId="48" fillId="0" borderId="17" xfId="0" applyFont="1" applyBorder="1" applyAlignment="1">
      <alignment horizontal="left" vertical="top" wrapText="1"/>
    </xf>
    <xf numFmtId="0" fontId="48" fillId="0" borderId="1" xfId="7" applyFont="1" applyBorder="1" applyAlignment="1" applyProtection="1">
      <alignment horizontal="left" vertical="top" wrapText="1"/>
      <protection locked="0"/>
    </xf>
    <xf numFmtId="0" fontId="5" fillId="0" borderId="1" xfId="0" applyFont="1" applyBorder="1"/>
    <xf numFmtId="0" fontId="42" fillId="0" borderId="30" xfId="0" applyFont="1" applyBorder="1" applyAlignment="1">
      <alignment horizontal="center" vertical="center"/>
    </xf>
    <xf numFmtId="0" fontId="52" fillId="0" borderId="30" xfId="0" applyFont="1" applyBorder="1" applyAlignment="1">
      <alignment horizontal="left" vertical="center" wrapText="1"/>
    </xf>
    <xf numFmtId="0" fontId="19" fillId="0" borderId="27" xfId="0" applyFont="1" applyBorder="1" applyAlignment="1" applyProtection="1">
      <alignment horizontal="center" vertical="center"/>
      <protection locked="0"/>
    </xf>
    <xf numFmtId="0" fontId="42" fillId="0" borderId="30" xfId="0" applyFont="1" applyBorder="1" applyAlignment="1">
      <alignment horizontal="left" vertical="center" wrapText="1"/>
    </xf>
    <xf numFmtId="0" fontId="11" fillId="0" borderId="25" xfId="0" applyFont="1" applyBorder="1" applyAlignment="1">
      <alignment vertical="center"/>
    </xf>
    <xf numFmtId="0" fontId="42" fillId="0" borderId="30" xfId="0" applyFont="1" applyBorder="1" applyAlignment="1">
      <alignment horizontal="left" vertical="top" wrapText="1"/>
    </xf>
    <xf numFmtId="0" fontId="19" fillId="0" borderId="25" xfId="0" applyFont="1" applyBorder="1" applyAlignment="1" applyProtection="1">
      <alignment vertical="center"/>
      <protection locked="0"/>
    </xf>
    <xf numFmtId="0" fontId="49" fillId="0" borderId="30" xfId="0" applyFont="1" applyBorder="1" applyAlignment="1">
      <alignment horizontal="left" vertical="top"/>
    </xf>
    <xf numFmtId="0" fontId="49" fillId="0" borderId="17" xfId="0" applyFont="1" applyBorder="1" applyAlignment="1">
      <alignment horizontal="left" vertical="top"/>
    </xf>
    <xf numFmtId="0" fontId="43" fillId="0" borderId="17" xfId="0" applyFont="1" applyBorder="1" applyAlignment="1">
      <alignment vertical="center"/>
    </xf>
    <xf numFmtId="0" fontId="59" fillId="0" borderId="21" xfId="0" applyFont="1" applyBorder="1" applyAlignment="1">
      <alignment horizontal="center" vertical="center"/>
    </xf>
    <xf numFmtId="0" fontId="15" fillId="0" borderId="25" xfId="0" applyFont="1" applyBorder="1" applyAlignment="1">
      <alignment vertical="center"/>
    </xf>
    <xf numFmtId="0" fontId="15" fillId="0" borderId="1" xfId="0" applyFont="1" applyBorder="1" applyAlignment="1" applyProtection="1">
      <alignment horizontal="center" vertical="center"/>
      <protection locked="0"/>
    </xf>
    <xf numFmtId="0" fontId="16" fillId="0" borderId="17" xfId="0" applyFont="1" applyBorder="1" applyAlignment="1">
      <alignment vertical="center"/>
    </xf>
    <xf numFmtId="0" fontId="15" fillId="0" borderId="17" xfId="0" applyFont="1" applyBorder="1" applyAlignment="1" applyProtection="1">
      <alignment vertical="center"/>
      <protection locked="0"/>
    </xf>
    <xf numFmtId="0" fontId="14" fillId="0" borderId="21" xfId="0" applyFont="1" applyBorder="1" applyAlignment="1">
      <alignment horizontal="left" vertical="top"/>
    </xf>
    <xf numFmtId="0" fontId="16" fillId="0" borderId="0" xfId="0" applyFont="1" applyAlignment="1">
      <alignment vertical="center"/>
    </xf>
    <xf numFmtId="0" fontId="21" fillId="0" borderId="21" xfId="0" applyFont="1" applyBorder="1" applyAlignment="1">
      <alignment horizontal="left" vertical="top"/>
    </xf>
    <xf numFmtId="0" fontId="21" fillId="18" borderId="21" xfId="0" applyFont="1" applyFill="1" applyBorder="1" applyAlignment="1">
      <alignment horizontal="left" vertical="center" wrapText="1"/>
    </xf>
    <xf numFmtId="0" fontId="19" fillId="0" borderId="25" xfId="0" applyFont="1" applyBorder="1" applyAlignment="1">
      <alignment vertical="center"/>
    </xf>
    <xf numFmtId="0" fontId="21" fillId="17" borderId="21" xfId="0" applyFont="1" applyFill="1" applyBorder="1" applyAlignment="1">
      <alignment horizontal="left" vertical="center" wrapText="1"/>
    </xf>
    <xf numFmtId="0" fontId="11" fillId="0" borderId="21" xfId="0" applyFont="1" applyBorder="1" applyAlignment="1">
      <alignment horizontal="left" vertical="center"/>
    </xf>
    <xf numFmtId="0" fontId="11" fillId="0" borderId="21" xfId="0" applyFont="1" applyBorder="1" applyAlignment="1">
      <alignment horizontal="left" vertical="top"/>
    </xf>
    <xf numFmtId="0" fontId="14" fillId="0" borderId="23" xfId="0" applyFont="1" applyBorder="1" applyAlignment="1">
      <alignment horizontal="center" vertical="center"/>
    </xf>
    <xf numFmtId="0" fontId="14" fillId="0" borderId="29" xfId="0" applyFont="1" applyBorder="1" applyAlignment="1">
      <alignment horizontal="center" vertical="center"/>
    </xf>
    <xf numFmtId="0" fontId="16" fillId="0" borderId="23" xfId="0" applyFont="1" applyBorder="1" applyAlignment="1">
      <alignment vertical="center" wrapText="1"/>
    </xf>
    <xf numFmtId="0" fontId="16" fillId="0" borderId="23" xfId="0" applyFont="1" applyBorder="1" applyAlignment="1">
      <alignment horizontal="left" vertical="center"/>
    </xf>
    <xf numFmtId="0" fontId="16" fillId="0" borderId="23" xfId="0" applyFont="1" applyBorder="1" applyAlignment="1">
      <alignment horizontal="left" vertical="top"/>
    </xf>
    <xf numFmtId="0" fontId="60" fillId="0" borderId="21" xfId="0" applyFont="1" applyBorder="1" applyAlignment="1">
      <alignment horizontal="left" vertical="center" wrapText="1"/>
    </xf>
    <xf numFmtId="0" fontId="60" fillId="0" borderId="30" xfId="0" applyFont="1" applyBorder="1" applyAlignment="1">
      <alignment horizontal="left" vertical="center" wrapText="1"/>
    </xf>
    <xf numFmtId="0" fontId="60" fillId="0" borderId="31" xfId="0" applyFont="1" applyBorder="1" applyAlignment="1">
      <alignment vertical="center"/>
    </xf>
    <xf numFmtId="0" fontId="60" fillId="0" borderId="21" xfId="0" applyFont="1" applyBorder="1" applyAlignment="1">
      <alignment horizontal="center" vertical="center"/>
    </xf>
    <xf numFmtId="0" fontId="60" fillId="0" borderId="30" xfId="0" applyFont="1" applyBorder="1" applyAlignment="1">
      <alignment horizontal="center" vertical="center"/>
    </xf>
    <xf numFmtId="0" fontId="61" fillId="0" borderId="21" xfId="0" applyFont="1" applyBorder="1" applyAlignment="1">
      <alignment horizontal="center" vertical="center"/>
    </xf>
    <xf numFmtId="0" fontId="60" fillId="0" borderId="30" xfId="0" applyFont="1" applyBorder="1" applyAlignment="1">
      <alignment vertical="center"/>
    </xf>
    <xf numFmtId="0" fontId="60" fillId="0" borderId="23" xfId="0" applyFont="1" applyBorder="1" applyAlignment="1">
      <alignment vertical="center"/>
    </xf>
    <xf numFmtId="0" fontId="60" fillId="0" borderId="21" xfId="0" applyFont="1" applyBorder="1" applyAlignment="1">
      <alignment vertical="center" wrapText="1"/>
    </xf>
    <xf numFmtId="0" fontId="61" fillId="0" borderId="21" xfId="0" applyFont="1" applyBorder="1" applyAlignment="1">
      <alignment vertical="center" wrapText="1"/>
    </xf>
    <xf numFmtId="0" fontId="60" fillId="0" borderId="30" xfId="0" applyFont="1" applyBorder="1" applyAlignment="1">
      <alignment vertical="center" wrapText="1"/>
    </xf>
    <xf numFmtId="0" fontId="21" fillId="0" borderId="23" xfId="0" applyFont="1" applyBorder="1" applyAlignment="1">
      <alignment horizontal="left" vertical="center" wrapText="1"/>
    </xf>
    <xf numFmtId="0" fontId="21" fillId="0" borderId="29" xfId="0" applyFont="1" applyBorder="1" applyAlignment="1">
      <alignment horizontal="center" vertical="center"/>
    </xf>
    <xf numFmtId="0" fontId="21" fillId="0" borderId="23" xfId="0" applyFont="1" applyBorder="1" applyAlignment="1">
      <alignment horizontal="center" vertical="center"/>
    </xf>
    <xf numFmtId="0" fontId="14" fillId="0" borderId="23" xfId="0" applyFont="1" applyBorder="1" applyAlignment="1">
      <alignment horizontal="left" vertical="top" wrapText="1"/>
    </xf>
    <xf numFmtId="0" fontId="21" fillId="0" borderId="23" xfId="0" applyFont="1" applyBorder="1" applyAlignment="1">
      <alignment horizontal="left" vertical="center"/>
    </xf>
    <xf numFmtId="0" fontId="57" fillId="0" borderId="23" xfId="0" applyFont="1" applyBorder="1" applyAlignment="1">
      <alignment horizontal="left" vertical="top" wrapText="1"/>
    </xf>
    <xf numFmtId="0" fontId="62" fillId="19" borderId="17" xfId="0" applyFont="1" applyFill="1" applyBorder="1" applyAlignment="1">
      <alignment horizontal="left" vertical="center" wrapText="1"/>
    </xf>
    <xf numFmtId="0" fontId="21" fillId="0" borderId="17" xfId="0" applyFont="1" applyBorder="1" applyAlignment="1">
      <alignment horizontal="center" vertical="center"/>
    </xf>
    <xf numFmtId="0" fontId="62" fillId="20" borderId="17" xfId="0" applyFont="1" applyFill="1" applyBorder="1" applyAlignment="1">
      <alignment horizontal="left" vertical="center" wrapText="1"/>
    </xf>
    <xf numFmtId="0" fontId="14" fillId="0" borderId="17" xfId="0" applyFont="1" applyBorder="1" applyAlignment="1">
      <alignment horizontal="left" vertical="top" wrapText="1"/>
    </xf>
    <xf numFmtId="0" fontId="21" fillId="0" borderId="17" xfId="0" applyFont="1" applyBorder="1" applyAlignment="1">
      <alignment horizontal="left" vertical="center"/>
    </xf>
    <xf numFmtId="0" fontId="57" fillId="0" borderId="17" xfId="0" applyFont="1" applyBorder="1" applyAlignment="1">
      <alignment horizontal="left" vertical="top" wrapText="1"/>
    </xf>
    <xf numFmtId="0" fontId="62" fillId="21" borderId="17" xfId="0" applyFont="1" applyFill="1" applyBorder="1" applyAlignment="1">
      <alignment horizontal="left" vertical="center" wrapText="1"/>
    </xf>
    <xf numFmtId="0" fontId="62" fillId="21" borderId="17" xfId="0" applyFont="1" applyFill="1" applyBorder="1" applyAlignment="1">
      <alignment vertical="top" wrapText="1"/>
    </xf>
    <xf numFmtId="0" fontId="64" fillId="22" borderId="17" xfId="0" quotePrefix="1" applyFont="1" applyFill="1" applyBorder="1" applyAlignment="1">
      <alignment horizontal="left" vertical="center" wrapText="1"/>
    </xf>
    <xf numFmtId="0" fontId="64" fillId="22" borderId="17" xfId="0" applyFont="1" applyFill="1" applyBorder="1" applyAlignment="1">
      <alignment horizontal="left" vertical="center" wrapText="1"/>
    </xf>
    <xf numFmtId="0" fontId="20" fillId="0" borderId="0" xfId="0" applyFont="1" applyAlignment="1">
      <alignment horizontal="left" vertical="top" wrapText="1"/>
    </xf>
    <xf numFmtId="0" fontId="45" fillId="0" borderId="21" xfId="0" applyFont="1" applyBorder="1" applyAlignment="1">
      <alignment horizontal="left" vertical="center" wrapText="1"/>
    </xf>
    <xf numFmtId="0" fontId="19" fillId="0" borderId="17" xfId="0" applyFont="1" applyBorder="1" applyAlignment="1">
      <alignment horizontal="left" vertical="center"/>
    </xf>
    <xf numFmtId="0" fontId="20" fillId="0" borderId="21" xfId="0" applyFont="1" applyBorder="1" applyAlignment="1">
      <alignment horizontal="left" vertical="center" wrapText="1"/>
    </xf>
    <xf numFmtId="0" fontId="37" fillId="0" borderId="21" xfId="0" applyFont="1" applyBorder="1" applyAlignment="1">
      <alignment horizontal="left" vertical="center" wrapText="1"/>
    </xf>
    <xf numFmtId="0" fontId="19" fillId="13" borderId="17" xfId="0" applyFont="1" applyFill="1" applyBorder="1" applyAlignment="1">
      <alignment horizontal="left" vertical="center"/>
    </xf>
    <xf numFmtId="0" fontId="20" fillId="13" borderId="21" xfId="0" applyFont="1" applyFill="1" applyBorder="1" applyAlignment="1">
      <alignment horizontal="left" vertical="center" wrapText="1"/>
    </xf>
    <xf numFmtId="0" fontId="37" fillId="13" borderId="21" xfId="0" applyFont="1" applyFill="1" applyBorder="1" applyAlignment="1">
      <alignment horizontal="left" vertical="center" wrapText="1"/>
    </xf>
    <xf numFmtId="0" fontId="20" fillId="13" borderId="23" xfId="0" applyFont="1" applyFill="1" applyBorder="1" applyAlignment="1">
      <alignment horizontal="left" vertical="center" wrapText="1"/>
    </xf>
    <xf numFmtId="0" fontId="37" fillId="13" borderId="23" xfId="0" applyFont="1" applyFill="1" applyBorder="1" applyAlignment="1">
      <alignment horizontal="left" vertical="center" wrapText="1"/>
    </xf>
    <xf numFmtId="0" fontId="37" fillId="0" borderId="17" xfId="0" applyFont="1" applyBorder="1" applyAlignment="1">
      <alignment horizontal="left" vertical="center" wrapText="1"/>
    </xf>
    <xf numFmtId="0" fontId="23" fillId="0" borderId="25" xfId="1" applyFill="1" applyBorder="1" applyAlignment="1">
      <alignment horizontal="left" vertical="center" wrapText="1"/>
    </xf>
    <xf numFmtId="0" fontId="36" fillId="0" borderId="20" xfId="2" applyNumberFormat="1" applyFont="1" applyBorder="1" applyAlignment="1">
      <alignment horizontal="left" vertical="center" wrapText="1"/>
    </xf>
    <xf numFmtId="0" fontId="23" fillId="13" borderId="17" xfId="1" applyFill="1" applyBorder="1" applyAlignment="1">
      <alignment horizontal="left" vertical="center" wrapText="1"/>
    </xf>
    <xf numFmtId="0" fontId="37" fillId="13" borderId="26" xfId="0" applyFont="1" applyFill="1" applyBorder="1" applyAlignment="1">
      <alignment horizontal="left" vertical="center" wrapText="1"/>
    </xf>
    <xf numFmtId="0" fontId="36" fillId="13" borderId="12" xfId="2" applyNumberFormat="1" applyFont="1" applyFill="1" applyBorder="1" applyAlignment="1">
      <alignment horizontal="left" vertical="center" wrapText="1"/>
    </xf>
    <xf numFmtId="0" fontId="23" fillId="0" borderId="17" xfId="1" applyFill="1" applyBorder="1" applyAlignment="1">
      <alignment horizontal="left" vertical="center" wrapText="1"/>
    </xf>
    <xf numFmtId="0" fontId="36" fillId="0" borderId="12" xfId="2" applyNumberFormat="1" applyFont="1" applyBorder="1" applyAlignment="1">
      <alignment horizontal="left" vertical="center" wrapText="1"/>
    </xf>
    <xf numFmtId="0" fontId="36" fillId="0" borderId="17" xfId="2" applyNumberFormat="1" applyFont="1" applyBorder="1" applyAlignment="1">
      <alignment horizontal="left" vertical="center" wrapText="1"/>
    </xf>
    <xf numFmtId="0" fontId="41" fillId="0" borderId="17" xfId="0" applyFont="1" applyBorder="1" applyAlignment="1">
      <alignment horizontal="left" vertical="center"/>
    </xf>
    <xf numFmtId="0" fontId="34" fillId="0" borderId="17" xfId="0" applyFont="1" applyBorder="1" applyAlignment="1" applyProtection="1">
      <alignment horizontal="left" vertical="center"/>
      <protection locked="0"/>
    </xf>
    <xf numFmtId="0" fontId="34" fillId="0" borderId="17" xfId="0" applyFont="1" applyBorder="1" applyAlignment="1">
      <alignment horizontal="left" vertical="center"/>
    </xf>
    <xf numFmtId="0" fontId="37" fillId="0" borderId="23" xfId="0" applyFont="1" applyBorder="1" applyAlignment="1">
      <alignment horizontal="left" vertical="center" wrapText="1"/>
    </xf>
    <xf numFmtId="0" fontId="37" fillId="0" borderId="28" xfId="0" applyFont="1" applyBorder="1" applyAlignment="1">
      <alignment horizontal="left" vertical="center" wrapText="1"/>
    </xf>
    <xf numFmtId="0" fontId="36" fillId="0" borderId="17" xfId="6" applyFill="1" applyBorder="1" applyAlignment="1">
      <alignment horizontal="left" vertical="center" wrapText="1"/>
    </xf>
    <xf numFmtId="0" fontId="49" fillId="0" borderId="21" xfId="0" applyFont="1" applyBorder="1" applyAlignment="1">
      <alignment horizontal="left" vertical="center"/>
    </xf>
    <xf numFmtId="0" fontId="49" fillId="0" borderId="21" xfId="0" applyFont="1" applyBorder="1" applyAlignment="1">
      <alignment horizontal="left" vertical="center" wrapText="1"/>
    </xf>
    <xf numFmtId="0" fontId="49" fillId="0" borderId="23" xfId="0" applyFont="1" applyBorder="1" applyAlignment="1">
      <alignment horizontal="left" vertical="center"/>
    </xf>
    <xf numFmtId="0" fontId="11" fillId="0" borderId="21" xfId="0" applyFont="1" applyBorder="1" applyAlignment="1">
      <alignment horizontal="left" vertical="center" wrapText="1"/>
    </xf>
    <xf numFmtId="0" fontId="14" fillId="0" borderId="23" xfId="0" applyFont="1" applyBorder="1" applyAlignment="1">
      <alignment horizontal="left" vertical="center"/>
    </xf>
    <xf numFmtId="0" fontId="14" fillId="0" borderId="23" xfId="0" applyFont="1" applyBorder="1" applyAlignment="1">
      <alignment horizontal="left" vertical="center" wrapText="1"/>
    </xf>
    <xf numFmtId="0" fontId="14" fillId="0" borderId="24" xfId="0" applyFont="1" applyBorder="1" applyAlignment="1">
      <alignment horizontal="left" vertical="center" wrapText="1"/>
    </xf>
    <xf numFmtId="0" fontId="51" fillId="0" borderId="21" xfId="0" applyFont="1" applyBorder="1" applyAlignment="1">
      <alignment horizontal="left"/>
    </xf>
    <xf numFmtId="0" fontId="50" fillId="0" borderId="21" xfId="0" applyFont="1" applyBorder="1" applyAlignment="1">
      <alignment horizontal="left" vertical="center" wrapText="1"/>
    </xf>
    <xf numFmtId="0" fontId="49" fillId="0" borderId="23" xfId="0" applyFont="1" applyBorder="1" applyAlignment="1">
      <alignment horizontal="left" vertical="center" wrapText="1"/>
    </xf>
    <xf numFmtId="0" fontId="50" fillId="0" borderId="21" xfId="0" applyFont="1" applyBorder="1" applyAlignment="1">
      <alignment horizontal="left" vertical="center"/>
    </xf>
    <xf numFmtId="0" fontId="11" fillId="0" borderId="23" xfId="0" applyFont="1" applyBorder="1" applyAlignment="1">
      <alignment horizontal="left" vertical="center"/>
    </xf>
    <xf numFmtId="0" fontId="51" fillId="0" borderId="23" xfId="0" applyFont="1" applyBorder="1" applyAlignment="1">
      <alignment horizontal="left" wrapText="1"/>
    </xf>
    <xf numFmtId="0" fontId="60" fillId="0" borderId="28" xfId="0" applyFont="1" applyBorder="1" applyAlignment="1">
      <alignment horizontal="left" vertical="center"/>
    </xf>
    <xf numFmtId="0" fontId="60" fillId="0" borderId="21" xfId="0" applyFont="1" applyBorder="1" applyAlignment="1">
      <alignment horizontal="left" vertical="center"/>
    </xf>
    <xf numFmtId="0" fontId="60" fillId="0" borderId="31" xfId="0" applyFont="1" applyBorder="1" applyAlignment="1">
      <alignment horizontal="left" vertical="center"/>
    </xf>
    <xf numFmtId="0" fontId="60" fillId="0" borderId="30" xfId="0" applyFont="1" applyBorder="1" applyAlignment="1">
      <alignment horizontal="left" vertical="center"/>
    </xf>
    <xf numFmtId="0" fontId="61" fillId="0" borderId="21" xfId="0" applyFont="1" applyBorder="1" applyAlignment="1">
      <alignment horizontal="left" vertical="center"/>
    </xf>
    <xf numFmtId="0" fontId="61" fillId="0" borderId="21" xfId="0" applyFont="1" applyBorder="1" applyAlignment="1">
      <alignment horizontal="left" vertical="center" wrapText="1"/>
    </xf>
    <xf numFmtId="0" fontId="11" fillId="0" borderId="0" xfId="0" applyFont="1" applyAlignment="1">
      <alignment horizontal="left" vertical="center"/>
    </xf>
    <xf numFmtId="0" fontId="21" fillId="0" borderId="17" xfId="0" applyFont="1" applyBorder="1" applyAlignment="1">
      <alignment horizontal="left" vertical="center" wrapText="1"/>
    </xf>
    <xf numFmtId="0" fontId="11" fillId="0" borderId="17" xfId="0" applyFont="1" applyBorder="1" applyAlignment="1" applyProtection="1">
      <alignment horizontal="left" vertical="center"/>
      <protection locked="0"/>
    </xf>
    <xf numFmtId="0" fontId="11" fillId="0" borderId="17" xfId="0" applyFont="1" applyBorder="1" applyAlignment="1">
      <alignment horizontal="left" vertical="center"/>
    </xf>
    <xf numFmtId="0" fontId="11" fillId="0" borderId="17" xfId="0" applyFont="1" applyBorder="1" applyAlignment="1">
      <alignment horizontal="left" vertical="center" wrapText="1"/>
    </xf>
    <xf numFmtId="0" fontId="27" fillId="0" borderId="28" xfId="0" applyFont="1" applyBorder="1" applyAlignment="1">
      <alignment horizontal="left" vertical="center" wrapText="1"/>
    </xf>
    <xf numFmtId="0" fontId="3" fillId="0" borderId="0" xfId="0" applyFont="1" applyAlignment="1">
      <alignment horizontal="left"/>
    </xf>
    <xf numFmtId="0" fontId="37" fillId="0" borderId="17" xfId="4" applyFont="1" applyBorder="1" applyAlignment="1" applyProtection="1">
      <alignment horizontal="left" vertical="top" wrapText="1"/>
      <protection locked="0"/>
    </xf>
    <xf numFmtId="0" fontId="41" fillId="0" borderId="17" xfId="0" applyFont="1" applyBorder="1" applyAlignment="1" applyProtection="1">
      <alignment horizontal="left" vertical="center"/>
      <protection locked="0"/>
    </xf>
    <xf numFmtId="0" fontId="48" fillId="0" borderId="17" xfId="0" applyFont="1" applyBorder="1" applyAlignment="1" applyProtection="1">
      <alignment horizontal="left" vertical="top" wrapText="1"/>
      <protection locked="0"/>
    </xf>
    <xf numFmtId="0" fontId="14" fillId="0" borderId="21" xfId="0" applyFont="1" applyBorder="1" applyAlignment="1">
      <alignment horizontal="left" vertical="center"/>
    </xf>
    <xf numFmtId="0" fontId="62" fillId="0" borderId="17" xfId="0" applyFont="1" applyBorder="1" applyAlignment="1">
      <alignment horizontal="left" vertical="center" wrapText="1"/>
    </xf>
    <xf numFmtId="17" fontId="15" fillId="0" borderId="17" xfId="0" applyNumberFormat="1" applyFont="1" applyBorder="1" applyAlignment="1" applyProtection="1">
      <alignment horizontal="center" vertical="center" wrapText="1"/>
      <protection locked="0"/>
    </xf>
    <xf numFmtId="0" fontId="22" fillId="0" borderId="12" xfId="0" applyFont="1" applyBorder="1" applyAlignment="1">
      <alignment horizontal="left" vertical="center" wrapText="1"/>
    </xf>
    <xf numFmtId="0" fontId="11" fillId="0" borderId="0" xfId="0" applyFont="1" applyAlignment="1">
      <alignment vertical="justify" wrapText="1"/>
    </xf>
    <xf numFmtId="0" fontId="27" fillId="0" borderId="21" xfId="0" applyFont="1" applyBorder="1" applyAlignment="1">
      <alignment horizontal="left" vertical="center" wrapText="1"/>
    </xf>
    <xf numFmtId="0" fontId="11" fillId="0" borderId="0" xfId="0" applyFont="1" applyAlignment="1">
      <alignment horizontal="left" vertical="justify"/>
    </xf>
    <xf numFmtId="0" fontId="11" fillId="0" borderId="0" xfId="0" applyFont="1" applyAlignment="1">
      <alignment horizontal="left" vertical="justify" wrapText="1"/>
    </xf>
    <xf numFmtId="0" fontId="41" fillId="0" borderId="23" xfId="0" applyFont="1" applyBorder="1" applyAlignment="1">
      <alignment horizontal="left" vertical="top" wrapText="1"/>
    </xf>
    <xf numFmtId="0" fontId="48" fillId="0" borderId="25" xfId="7" applyFont="1" applyBorder="1" applyAlignment="1">
      <alignment horizontal="left" vertical="top" wrapText="1"/>
    </xf>
    <xf numFmtId="0" fontId="11" fillId="0" borderId="17" xfId="0" applyFont="1" applyBorder="1" applyAlignment="1">
      <alignment vertical="justify"/>
    </xf>
    <xf numFmtId="0" fontId="23" fillId="0" borderId="12" xfId="6" applyFont="1" applyFill="1" applyBorder="1" applyAlignment="1">
      <alignment horizontal="left" vertical="center" wrapText="1"/>
    </xf>
    <xf numFmtId="0" fontId="19" fillId="0" borderId="14" xfId="0" applyFont="1" applyBorder="1" applyAlignment="1" applyProtection="1">
      <alignment horizontal="left" vertical="center"/>
      <protection locked="0"/>
    </xf>
    <xf numFmtId="0" fontId="20" fillId="0" borderId="17" xfId="0" applyFont="1" applyBorder="1" applyAlignment="1">
      <alignment horizontal="left" vertical="center" wrapText="1"/>
    </xf>
    <xf numFmtId="0" fontId="19" fillId="0" borderId="12" xfId="0" applyFont="1" applyBorder="1" applyAlignment="1">
      <alignment horizontal="center" vertical="center"/>
    </xf>
    <xf numFmtId="0" fontId="19" fillId="0" borderId="11" xfId="0" applyFont="1" applyBorder="1" applyAlignment="1" applyProtection="1">
      <alignment horizontal="center" vertical="center"/>
      <protection locked="0"/>
    </xf>
    <xf numFmtId="0" fontId="20" fillId="0" borderId="17" xfId="0" applyFont="1" applyBorder="1" applyAlignment="1">
      <alignment horizontal="left" vertical="top" wrapText="1"/>
    </xf>
    <xf numFmtId="0" fontId="11" fillId="0" borderId="17" xfId="0" applyFont="1" applyBorder="1" applyAlignment="1">
      <alignment vertical="justify" wrapText="1"/>
    </xf>
    <xf numFmtId="0" fontId="66" fillId="0" borderId="0" xfId="0" applyFont="1" applyAlignment="1">
      <alignment horizontal="center" vertical="center" wrapText="1"/>
    </xf>
    <xf numFmtId="0" fontId="0" fillId="0" borderId="0" xfId="0" applyAlignment="1">
      <alignment vertical="center" wrapText="1"/>
    </xf>
    <xf numFmtId="0" fontId="66" fillId="0" borderId="0" xfId="0" applyFont="1" applyAlignment="1">
      <alignment vertical="center" wrapText="1"/>
    </xf>
    <xf numFmtId="0" fontId="0" fillId="0" borderId="0" xfId="0" applyAlignment="1">
      <alignment horizontal="right" vertical="center" wrapText="1"/>
    </xf>
    <xf numFmtId="0" fontId="66" fillId="0" borderId="0" xfId="0" applyFont="1" applyAlignment="1">
      <alignment horizontal="right" vertical="center" wrapText="1"/>
    </xf>
    <xf numFmtId="0" fontId="65" fillId="0" borderId="0" xfId="0" applyFont="1"/>
    <xf numFmtId="0" fontId="2" fillId="0" borderId="0" xfId="0" applyFont="1"/>
    <xf numFmtId="0" fontId="19" fillId="0" borderId="17" xfId="0" applyFont="1" applyBorder="1" applyAlignment="1">
      <alignment vertical="center"/>
    </xf>
    <xf numFmtId="0" fontId="60" fillId="0" borderId="23" xfId="0" applyFont="1" applyBorder="1" applyAlignment="1">
      <alignment horizontal="left" vertical="center" wrapText="1"/>
    </xf>
    <xf numFmtId="0" fontId="61" fillId="0" borderId="29" xfId="0" applyFont="1" applyBorder="1" applyAlignment="1">
      <alignment horizontal="left" vertical="center"/>
    </xf>
    <xf numFmtId="0" fontId="61" fillId="0" borderId="23" xfId="0" applyFont="1" applyBorder="1" applyAlignment="1">
      <alignment horizontal="left" vertical="center"/>
    </xf>
    <xf numFmtId="0" fontId="61" fillId="0" borderId="23" xfId="0" applyFont="1" applyBorder="1" applyAlignment="1">
      <alignment horizontal="left" vertical="center" wrapText="1"/>
    </xf>
    <xf numFmtId="0" fontId="60" fillId="0" borderId="23" xfId="0" applyFont="1" applyBorder="1" applyAlignment="1">
      <alignment horizontal="center" vertical="center"/>
    </xf>
    <xf numFmtId="0" fontId="60" fillId="0" borderId="23" xfId="0" applyFont="1" applyBorder="1" applyAlignment="1">
      <alignment horizontal="center" vertical="center" wrapText="1"/>
    </xf>
    <xf numFmtId="0" fontId="61" fillId="0" borderId="23" xfId="0" applyFont="1" applyBorder="1" applyAlignment="1">
      <alignment horizontal="center" vertical="center"/>
    </xf>
    <xf numFmtId="0" fontId="61" fillId="0" borderId="23" xfId="0" applyFont="1" applyBorder="1" applyAlignment="1">
      <alignment vertical="center" wrapText="1"/>
    </xf>
    <xf numFmtId="0" fontId="21" fillId="0" borderId="30" xfId="0" applyFont="1" applyBorder="1" applyAlignment="1">
      <alignment horizontal="left" vertical="center"/>
    </xf>
    <xf numFmtId="0" fontId="20" fillId="0" borderId="30" xfId="0" applyFont="1" applyBorder="1" applyAlignment="1">
      <alignment horizontal="left" vertical="center" wrapText="1"/>
    </xf>
    <xf numFmtId="0" fontId="21" fillId="0" borderId="30" xfId="0" applyFont="1" applyBorder="1" applyAlignment="1">
      <alignment horizontal="left" vertical="center" wrapText="1"/>
    </xf>
    <xf numFmtId="0" fontId="60" fillId="0" borderId="17" xfId="0" applyFont="1" applyBorder="1" applyAlignment="1">
      <alignment horizontal="left" vertical="center" wrapText="1"/>
    </xf>
    <xf numFmtId="0" fontId="61" fillId="0" borderId="17" xfId="0" applyFont="1" applyBorder="1" applyAlignment="1">
      <alignment horizontal="left" vertical="center"/>
    </xf>
    <xf numFmtId="0" fontId="61" fillId="0" borderId="17" xfId="0" applyFont="1" applyBorder="1" applyAlignment="1">
      <alignment horizontal="left" vertical="center" wrapText="1"/>
    </xf>
    <xf numFmtId="0" fontId="61" fillId="0" borderId="17" xfId="0" applyFont="1" applyBorder="1" applyAlignment="1">
      <alignment horizontal="center" vertical="center"/>
    </xf>
    <xf numFmtId="0" fontId="61" fillId="0" borderId="17" xfId="0" applyFont="1" applyBorder="1" applyAlignment="1">
      <alignment vertical="center" wrapText="1"/>
    </xf>
    <xf numFmtId="0" fontId="43" fillId="0" borderId="17" xfId="0" applyFont="1" applyBorder="1" applyAlignment="1">
      <alignment vertical="center" wrapText="1"/>
    </xf>
    <xf numFmtId="0" fontId="59" fillId="0" borderId="17" xfId="0" applyFont="1" applyBorder="1" applyAlignment="1">
      <alignment horizontal="left" vertical="center" wrapText="1"/>
    </xf>
    <xf numFmtId="0" fontId="68" fillId="8" borderId="21" xfId="0" applyFont="1" applyFill="1" applyBorder="1" applyAlignment="1">
      <alignment horizontal="center" vertical="center"/>
    </xf>
    <xf numFmtId="0" fontId="68" fillId="8" borderId="21" xfId="0" applyFont="1" applyFill="1" applyBorder="1" applyAlignment="1">
      <alignment horizontal="center" vertical="center" wrapText="1"/>
    </xf>
    <xf numFmtId="0" fontId="68" fillId="8" borderId="21" xfId="0" applyFont="1" applyFill="1" applyBorder="1" applyAlignment="1">
      <alignment horizontal="left" vertical="center"/>
    </xf>
    <xf numFmtId="0" fontId="68" fillId="8" borderId="21" xfId="0" applyFont="1" applyFill="1" applyBorder="1" applyAlignment="1">
      <alignment horizontal="left" vertical="center" wrapText="1"/>
    </xf>
    <xf numFmtId="0" fontId="60" fillId="0" borderId="23" xfId="0" applyFont="1" applyFill="1" applyBorder="1" applyAlignment="1">
      <alignment vertical="center"/>
    </xf>
    <xf numFmtId="0" fontId="61" fillId="0" borderId="23" xfId="0" applyFont="1" applyFill="1" applyBorder="1" applyAlignment="1">
      <alignment vertical="center"/>
    </xf>
    <xf numFmtId="0" fontId="19" fillId="0" borderId="25" xfId="0" applyFont="1" applyFill="1" applyBorder="1" applyAlignment="1" applyProtection="1">
      <alignment horizontal="center" vertical="center"/>
      <protection locked="0"/>
    </xf>
    <xf numFmtId="0" fontId="19" fillId="0" borderId="17" xfId="0" applyFont="1" applyFill="1" applyBorder="1" applyAlignment="1" applyProtection="1">
      <alignment horizontal="center" vertical="center"/>
      <protection locked="0"/>
    </xf>
    <xf numFmtId="0" fontId="21" fillId="0" borderId="0" xfId="0" applyFont="1" applyBorder="1" applyAlignment="1">
      <alignment horizontal="left" vertical="top" wrapText="1"/>
    </xf>
    <xf numFmtId="0" fontId="19" fillId="0" borderId="0" xfId="0" applyFont="1" applyBorder="1" applyAlignment="1">
      <alignment horizontal="left" vertical="top" wrapText="1"/>
    </xf>
    <xf numFmtId="0" fontId="19" fillId="0" borderId="0" xfId="0" applyFont="1" applyBorder="1" applyAlignment="1" applyProtection="1">
      <alignment horizontal="left" vertical="center" wrapText="1"/>
      <protection locked="0"/>
    </xf>
    <xf numFmtId="0" fontId="23" fillId="0" borderId="17" xfId="1" applyFill="1" applyBorder="1" applyAlignment="1">
      <alignment horizontal="center" vertical="center" wrapText="1"/>
    </xf>
    <xf numFmtId="0" fontId="23" fillId="0" borderId="17" xfId="2" applyNumberFormat="1" applyFont="1" applyBorder="1" applyAlignment="1">
      <alignment horizontal="left" vertical="center" wrapText="1"/>
    </xf>
    <xf numFmtId="0" fontId="19" fillId="0" borderId="17" xfId="0" applyFont="1" applyBorder="1" applyAlignment="1">
      <alignment vertical="center"/>
    </xf>
    <xf numFmtId="165" fontId="19" fillId="0" borderId="1" xfId="0" applyNumberFormat="1" applyFont="1" applyBorder="1" applyAlignment="1" applyProtection="1">
      <alignment horizontal="center" vertical="center"/>
      <protection locked="0"/>
    </xf>
    <xf numFmtId="165" fontId="19" fillId="0" borderId="25" xfId="0" applyNumberFormat="1" applyFont="1" applyBorder="1" applyAlignment="1" applyProtection="1">
      <alignment horizontal="center" vertical="center"/>
      <protection locked="0"/>
    </xf>
    <xf numFmtId="0" fontId="19" fillId="0" borderId="9" xfId="0" applyFont="1" applyBorder="1" applyAlignment="1">
      <alignment horizontal="left" vertical="center"/>
    </xf>
    <xf numFmtId="0" fontId="19" fillId="0" borderId="10" xfId="0" applyFont="1" applyBorder="1" applyAlignment="1">
      <alignment horizontal="left" vertical="center"/>
    </xf>
    <xf numFmtId="0" fontId="19" fillId="0" borderId="11" xfId="0" applyFont="1" applyBorder="1" applyAlignment="1">
      <alignment horizontal="left" vertical="center"/>
    </xf>
    <xf numFmtId="0" fontId="19" fillId="0" borderId="20" xfId="0" applyFont="1" applyBorder="1" applyAlignment="1">
      <alignment horizontal="left" vertical="center"/>
    </xf>
    <xf numFmtId="0" fontId="19" fillId="0" borderId="19" xfId="0" applyFont="1" applyBorder="1" applyAlignment="1">
      <alignment horizontal="left" vertical="center"/>
    </xf>
    <xf numFmtId="0" fontId="19" fillId="0" borderId="18" xfId="0" applyFont="1" applyBorder="1" applyAlignment="1">
      <alignment horizontal="left" vertical="center"/>
    </xf>
    <xf numFmtId="0" fontId="19" fillId="0" borderId="1" xfId="0" applyFont="1" applyBorder="1" applyAlignment="1" applyProtection="1">
      <alignment horizontal="center" vertical="center" wrapText="1"/>
      <protection locked="0"/>
    </xf>
    <xf numFmtId="0" fontId="19" fillId="0" borderId="25" xfId="0" applyFont="1" applyBorder="1" applyAlignment="1" applyProtection="1">
      <alignment horizontal="center" vertical="center" wrapText="1"/>
      <protection locked="0"/>
    </xf>
    <xf numFmtId="0" fontId="12" fillId="5" borderId="16" xfId="0" applyFont="1" applyFill="1" applyBorder="1" applyAlignment="1">
      <alignment horizontal="center" vertical="center"/>
    </xf>
    <xf numFmtId="0" fontId="11" fillId="0" borderId="19" xfId="0" applyFont="1" applyBorder="1" applyAlignment="1">
      <alignment horizontal="center"/>
    </xf>
    <xf numFmtId="0" fontId="27" fillId="0" borderId="17" xfId="0" applyFont="1" applyBorder="1" applyAlignment="1">
      <alignment horizontal="left" vertical="center"/>
    </xf>
    <xf numFmtId="0" fontId="28" fillId="14" borderId="12" xfId="0" applyFont="1" applyFill="1" applyBorder="1" applyAlignment="1">
      <alignment horizontal="left" vertical="center"/>
    </xf>
    <xf numFmtId="0" fontId="28" fillId="14" borderId="13" xfId="0" applyFont="1" applyFill="1" applyBorder="1" applyAlignment="1">
      <alignment horizontal="left" vertical="center"/>
    </xf>
    <xf numFmtId="0" fontId="28" fillId="14" borderId="14" xfId="0" applyFont="1" applyFill="1" applyBorder="1" applyAlignment="1">
      <alignment horizontal="left" vertical="center"/>
    </xf>
    <xf numFmtId="0" fontId="12" fillId="5" borderId="27" xfId="0" applyFont="1" applyFill="1" applyBorder="1" applyAlignment="1">
      <alignment horizontal="center" vertical="center"/>
    </xf>
    <xf numFmtId="0" fontId="8" fillId="3" borderId="17" xfId="0" applyFont="1" applyFill="1" applyBorder="1" applyAlignment="1">
      <alignment horizontal="center" vertical="center"/>
    </xf>
    <xf numFmtId="0" fontId="19" fillId="0" borderId="1" xfId="0" applyFont="1" applyBorder="1" applyAlignment="1" applyProtection="1">
      <alignment horizontal="center" vertical="center"/>
      <protection locked="0"/>
    </xf>
    <xf numFmtId="0" fontId="19" fillId="0" borderId="25" xfId="0" applyFont="1" applyBorder="1" applyAlignment="1" applyProtection="1">
      <alignment horizontal="center" vertical="center"/>
      <protection locked="0"/>
    </xf>
    <xf numFmtId="0" fontId="19" fillId="0" borderId="1" xfId="0" applyFont="1" applyBorder="1" applyAlignment="1">
      <alignment horizontal="center" vertical="center"/>
    </xf>
    <xf numFmtId="0" fontId="19" fillId="0" borderId="25" xfId="0" applyFont="1" applyBorder="1" applyAlignment="1">
      <alignment horizontal="center" vertical="center"/>
    </xf>
    <xf numFmtId="0" fontId="12" fillId="5" borderId="0" xfId="0" applyFont="1" applyFill="1" applyAlignment="1">
      <alignment horizontal="center" vertical="center"/>
    </xf>
    <xf numFmtId="0" fontId="19" fillId="0" borderId="17" xfId="0" applyFont="1" applyBorder="1" applyAlignment="1" applyProtection="1">
      <alignment horizontal="left" vertical="center"/>
      <protection locked="0"/>
    </xf>
    <xf numFmtId="0" fontId="15" fillId="0" borderId="25" xfId="0" applyFont="1" applyBorder="1" applyAlignment="1" applyProtection="1">
      <alignment horizontal="center" vertical="center"/>
      <protection locked="0"/>
    </xf>
    <xf numFmtId="0" fontId="12" fillId="5" borderId="12" xfId="0" applyFont="1" applyFill="1" applyBorder="1" applyAlignment="1">
      <alignment horizontal="center" vertical="justify"/>
    </xf>
    <xf numFmtId="0" fontId="12" fillId="5" borderId="14" xfId="0" applyFont="1" applyFill="1" applyBorder="1" applyAlignment="1">
      <alignment horizontal="center" vertical="justify"/>
    </xf>
    <xf numFmtId="0" fontId="19" fillId="0" borderId="12" xfId="0" applyFont="1" applyBorder="1" applyAlignment="1" applyProtection="1">
      <alignment horizontal="center" vertical="center"/>
      <protection locked="0"/>
    </xf>
    <xf numFmtId="0" fontId="19" fillId="0" borderId="14" xfId="0" applyFont="1" applyBorder="1" applyAlignment="1" applyProtection="1">
      <alignment horizontal="center" vertical="center"/>
      <protection locked="0"/>
    </xf>
    <xf numFmtId="0" fontId="28" fillId="14" borderId="9" xfId="0" applyFont="1" applyFill="1" applyBorder="1" applyAlignment="1">
      <alignment horizontal="left" vertical="center"/>
    </xf>
    <xf numFmtId="0" fontId="28" fillId="14" borderId="10" xfId="0" applyFont="1" applyFill="1" applyBorder="1" applyAlignment="1">
      <alignment horizontal="left" vertical="center"/>
    </xf>
    <xf numFmtId="0" fontId="28" fillId="14" borderId="11" xfId="0" applyFont="1" applyFill="1" applyBorder="1" applyAlignment="1">
      <alignment horizontal="left" vertical="center"/>
    </xf>
    <xf numFmtId="0" fontId="12" fillId="5" borderId="0" xfId="0" applyFont="1" applyFill="1" applyAlignment="1">
      <alignment horizontal="center" vertical="justify" wrapText="1"/>
    </xf>
    <xf numFmtId="0" fontId="30" fillId="5" borderId="0" xfId="0" applyFont="1" applyFill="1" applyAlignment="1">
      <alignment horizontal="center" vertical="justify"/>
    </xf>
    <xf numFmtId="0" fontId="12" fillId="5" borderId="0" xfId="0" applyFont="1" applyFill="1" applyAlignment="1">
      <alignment horizontal="center" vertical="center" wrapText="1"/>
    </xf>
    <xf numFmtId="0" fontId="8" fillId="3" borderId="17" xfId="0" applyFont="1" applyFill="1" applyBorder="1" applyAlignment="1">
      <alignment horizontal="center"/>
    </xf>
    <xf numFmtId="0" fontId="19" fillId="0" borderId="12" xfId="0" applyFont="1" applyBorder="1" applyAlignment="1">
      <alignment horizontal="justify" vertical="center"/>
    </xf>
    <xf numFmtId="0" fontId="19" fillId="0" borderId="13" xfId="0" applyFont="1" applyBorder="1" applyAlignment="1">
      <alignment horizontal="justify" vertical="center"/>
    </xf>
    <xf numFmtId="0" fontId="19" fillId="0" borderId="14" xfId="0" applyFont="1" applyBorder="1" applyAlignment="1">
      <alignment horizontal="justify" vertical="center"/>
    </xf>
    <xf numFmtId="0" fontId="10" fillId="0" borderId="13" xfId="0" applyFont="1" applyBorder="1" applyAlignment="1">
      <alignment horizontal="justify" vertical="center"/>
    </xf>
    <xf numFmtId="0" fontId="10" fillId="0" borderId="14" xfId="0" applyFont="1" applyBorder="1" applyAlignment="1">
      <alignment horizontal="justify" vertical="center"/>
    </xf>
    <xf numFmtId="0" fontId="8" fillId="4" borderId="1" xfId="0" applyFont="1" applyFill="1" applyBorder="1" applyAlignment="1">
      <alignment horizontal="left" vertical="center" wrapText="1"/>
    </xf>
    <xf numFmtId="0" fontId="8" fillId="4" borderId="27" xfId="0" applyFont="1" applyFill="1" applyBorder="1" applyAlignment="1">
      <alignment horizontal="left" vertical="center" wrapText="1"/>
    </xf>
    <xf numFmtId="0" fontId="8" fillId="4" borderId="25" xfId="0" applyFont="1" applyFill="1" applyBorder="1" applyAlignment="1">
      <alignment horizontal="left" vertical="center" wrapText="1"/>
    </xf>
    <xf numFmtId="0" fontId="11" fillId="0" borderId="19" xfId="0" applyFont="1" applyBorder="1" applyAlignment="1">
      <alignment horizontal="center" vertical="center"/>
    </xf>
    <xf numFmtId="0" fontId="11" fillId="0" borderId="18" xfId="0" applyFont="1" applyBorder="1" applyAlignment="1">
      <alignment horizontal="center" vertical="center"/>
    </xf>
    <xf numFmtId="0" fontId="11" fillId="0" borderId="17" xfId="0" applyFont="1" applyBorder="1" applyAlignment="1">
      <alignment horizontal="center"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8" fillId="3" borderId="12" xfId="0" applyFont="1" applyFill="1" applyBorder="1" applyAlignment="1">
      <alignment horizontal="left" vertical="center"/>
    </xf>
    <xf numFmtId="0" fontId="8" fillId="3" borderId="13" xfId="0" applyFont="1" applyFill="1" applyBorder="1" applyAlignment="1">
      <alignment horizontal="left" vertical="center"/>
    </xf>
    <xf numFmtId="0" fontId="17" fillId="3" borderId="17" xfId="0" applyFont="1" applyFill="1" applyBorder="1" applyAlignment="1">
      <alignment horizontal="center" vertical="center"/>
    </xf>
    <xf numFmtId="0" fontId="18" fillId="0" borderId="12" xfId="0" applyFont="1" applyBorder="1" applyAlignment="1">
      <alignment horizontal="center" vertical="center" wrapText="1"/>
    </xf>
    <xf numFmtId="0" fontId="18" fillId="0" borderId="14" xfId="0" applyFont="1" applyBorder="1" applyAlignment="1">
      <alignment horizontal="center" vertical="center" wrapText="1"/>
    </xf>
    <xf numFmtId="0" fontId="12" fillId="5" borderId="17" xfId="0" applyFont="1" applyFill="1" applyBorder="1" applyAlignment="1">
      <alignment horizontal="center" vertical="center"/>
    </xf>
    <xf numFmtId="0" fontId="12" fillId="5" borderId="17" xfId="0" applyFont="1" applyFill="1" applyBorder="1" applyAlignment="1">
      <alignment horizontal="center" vertical="center" wrapText="1"/>
    </xf>
    <xf numFmtId="0" fontId="12" fillId="5" borderId="17" xfId="0" applyFont="1" applyFill="1" applyBorder="1" applyAlignment="1">
      <alignment horizontal="justify" vertical="center"/>
    </xf>
    <xf numFmtId="0" fontId="12" fillId="5" borderId="9" xfId="0" applyFont="1" applyFill="1" applyBorder="1" applyAlignment="1">
      <alignment horizontal="center" vertical="center"/>
    </xf>
    <xf numFmtId="0" fontId="12" fillId="5" borderId="11" xfId="0" applyFont="1" applyFill="1" applyBorder="1" applyAlignment="1">
      <alignment horizontal="center" vertical="center"/>
    </xf>
    <xf numFmtId="0" fontId="12" fillId="5" borderId="20" xfId="0" applyFont="1" applyFill="1" applyBorder="1" applyAlignment="1">
      <alignment horizontal="center" vertical="center"/>
    </xf>
    <xf numFmtId="0" fontId="12" fillId="5" borderId="18" xfId="0" applyFont="1" applyFill="1" applyBorder="1" applyAlignment="1">
      <alignment horizontal="center" vertical="center"/>
    </xf>
    <xf numFmtId="0" fontId="35" fillId="5" borderId="1" xfId="0" applyFont="1" applyFill="1" applyBorder="1" applyAlignment="1">
      <alignment horizontal="center" vertical="center" wrapText="1"/>
    </xf>
    <xf numFmtId="0" fontId="35" fillId="5" borderId="25" xfId="0" applyFont="1" applyFill="1" applyBorder="1" applyAlignment="1">
      <alignment horizontal="center" vertical="center" wrapText="1"/>
    </xf>
    <xf numFmtId="0" fontId="8" fillId="4" borderId="12" xfId="0" applyFont="1" applyFill="1" applyBorder="1" applyAlignment="1">
      <alignment horizontal="left" vertical="center"/>
    </xf>
    <xf numFmtId="0" fontId="8" fillId="4" borderId="13" xfId="0" applyFont="1" applyFill="1" applyBorder="1" applyAlignment="1">
      <alignment horizontal="left" vertical="center"/>
    </xf>
    <xf numFmtId="0" fontId="8" fillId="4" borderId="17" xfId="0" applyFont="1" applyFill="1" applyBorder="1" applyAlignment="1">
      <alignment horizontal="center" vertical="center"/>
    </xf>
    <xf numFmtId="0" fontId="12" fillId="5" borderId="1" xfId="0" applyFont="1" applyFill="1" applyBorder="1" applyAlignment="1">
      <alignment horizontal="center" vertical="center"/>
    </xf>
    <xf numFmtId="0" fontId="24" fillId="5" borderId="25" xfId="0" applyFont="1" applyFill="1" applyBorder="1" applyAlignment="1">
      <alignment vertical="center"/>
    </xf>
    <xf numFmtId="0" fontId="55" fillId="15" borderId="0" xfId="0" applyFont="1" applyFill="1" applyAlignment="1">
      <alignment horizontal="center" vertical="center" wrapText="1"/>
    </xf>
    <xf numFmtId="0" fontId="25" fillId="5" borderId="1" xfId="0" applyFont="1" applyFill="1" applyBorder="1" applyAlignment="1">
      <alignment horizontal="center" vertical="center"/>
    </xf>
    <xf numFmtId="0" fontId="25" fillId="5" borderId="25" xfId="0" applyFont="1" applyFill="1" applyBorder="1" applyAlignment="1">
      <alignment horizontal="center" vertical="center"/>
    </xf>
    <xf numFmtId="0" fontId="11" fillId="0" borderId="10" xfId="0" applyFont="1" applyBorder="1" applyAlignment="1">
      <alignment horizontal="center" vertical="center"/>
    </xf>
    <xf numFmtId="0" fontId="11" fillId="0" borderId="14" xfId="0" applyFont="1" applyBorder="1" applyAlignment="1">
      <alignment horizontal="left"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0" fontId="9" fillId="4" borderId="9" xfId="0" applyFont="1" applyFill="1" applyBorder="1" applyAlignment="1">
      <alignment horizontal="center" vertical="center"/>
    </xf>
    <xf numFmtId="0" fontId="9" fillId="4" borderId="10" xfId="0" applyFont="1" applyFill="1" applyBorder="1" applyAlignment="1">
      <alignment horizontal="center" vertical="center"/>
    </xf>
    <xf numFmtId="0" fontId="9" fillId="4" borderId="11" xfId="0" applyFont="1" applyFill="1" applyBorder="1" applyAlignment="1">
      <alignment horizontal="center" vertical="center"/>
    </xf>
    <xf numFmtId="0" fontId="12" fillId="5" borderId="10"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0" xfId="0" applyFont="1" applyFill="1" applyAlignment="1">
      <alignment horizontal="center" vertical="center"/>
    </xf>
    <xf numFmtId="0" fontId="9" fillId="4" borderId="12" xfId="0" applyFont="1" applyFill="1" applyBorder="1" applyAlignment="1">
      <alignment horizontal="center" vertical="center"/>
    </xf>
    <xf numFmtId="0" fontId="9" fillId="4" borderId="13" xfId="0" applyFont="1" applyFill="1" applyBorder="1" applyAlignment="1">
      <alignment horizontal="center" vertical="center"/>
    </xf>
    <xf numFmtId="0" fontId="9" fillId="4" borderId="14"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cellXfs>
  <cellStyles count="9">
    <cellStyle name="Normal" xfId="0" builtinId="0"/>
    <cellStyle name="Normal 2" xfId="1"/>
    <cellStyle name="Normal 2 2" xfId="6"/>
    <cellStyle name="Normal 3" xfId="2"/>
    <cellStyle name="Normal 3 2" xfId="5"/>
    <cellStyle name="Normal 3 3" xfId="8"/>
    <cellStyle name="Normal 4" xfId="4"/>
    <cellStyle name="Normal 5" xfId="7"/>
    <cellStyle name="Normal_Global Equity RCA 2" xfId="3"/>
  </cellStyles>
  <dxfs count="102">
    <dxf>
      <font>
        <color auto="1"/>
      </font>
      <fill>
        <patternFill patternType="solid">
          <bgColor rgb="FFFFFF00"/>
        </patternFill>
      </fill>
    </dxf>
    <dxf>
      <fill>
        <patternFill patternType="solid">
          <bgColor rgb="FFFFC000"/>
        </patternFill>
      </fill>
    </dxf>
    <dxf>
      <font>
        <color theme="0"/>
      </font>
      <fill>
        <patternFill patternType="solid">
          <bgColor rgb="FFC00000"/>
        </patternFill>
      </fill>
    </dxf>
    <dxf>
      <font>
        <color auto="1"/>
      </font>
      <fill>
        <patternFill patternType="solid">
          <bgColor rgb="FF92D050"/>
        </patternFill>
      </fill>
    </dxf>
    <dxf>
      <font>
        <color theme="0"/>
      </font>
      <fill>
        <patternFill patternType="solid">
          <bgColor rgb="FF00B050"/>
        </patternFill>
      </fill>
    </dxf>
    <dxf>
      <font>
        <color theme="0"/>
      </font>
      <fill>
        <patternFill patternType="solid">
          <bgColor rgb="FF00B050"/>
        </patternFill>
      </fill>
    </dxf>
    <dxf>
      <font>
        <color theme="1"/>
      </font>
      <fill>
        <patternFill patternType="solid">
          <bgColor rgb="FF92D050"/>
        </patternFill>
      </fill>
    </dxf>
    <dxf>
      <font>
        <color theme="1"/>
      </font>
      <fill>
        <patternFill patternType="solid">
          <bgColor rgb="FFFFFF00"/>
        </patternFill>
      </fill>
    </dxf>
    <dxf>
      <font>
        <color theme="1"/>
      </font>
      <fill>
        <patternFill patternType="solid">
          <bgColor rgb="FFFFC000"/>
        </patternFill>
      </fill>
    </dxf>
    <dxf>
      <font>
        <color theme="0"/>
      </font>
      <fill>
        <patternFill patternType="solid">
          <bgColor rgb="FFC00000"/>
        </patternFill>
      </fill>
    </dxf>
    <dxf>
      <font>
        <color auto="1"/>
      </font>
      <fill>
        <patternFill patternType="solid">
          <bgColor rgb="FFFFFF00"/>
        </patternFill>
      </fill>
    </dxf>
    <dxf>
      <fill>
        <patternFill patternType="solid">
          <bgColor rgb="FFFFC000"/>
        </patternFill>
      </fill>
    </dxf>
    <dxf>
      <font>
        <color theme="0"/>
      </font>
      <fill>
        <patternFill patternType="solid">
          <bgColor rgb="FFC00000"/>
        </patternFill>
      </fill>
    </dxf>
    <dxf>
      <font>
        <color auto="1"/>
      </font>
      <fill>
        <patternFill patternType="solid">
          <bgColor rgb="FF92D050"/>
        </patternFill>
      </fill>
    </dxf>
    <dxf>
      <font>
        <color theme="0"/>
      </font>
      <fill>
        <patternFill patternType="solid">
          <bgColor rgb="FF00B050"/>
        </patternFill>
      </fill>
    </dxf>
    <dxf>
      <font>
        <color theme="1"/>
      </font>
      <fill>
        <patternFill patternType="solid">
          <bgColor rgb="FF92D050"/>
        </patternFill>
      </fill>
    </dxf>
    <dxf>
      <font>
        <color theme="0"/>
      </font>
      <fill>
        <patternFill patternType="solid">
          <bgColor rgb="FF00B050"/>
        </patternFill>
      </fill>
    </dxf>
    <dxf>
      <fill>
        <patternFill patternType="solid">
          <bgColor rgb="FFFFFF00"/>
        </patternFill>
      </fill>
    </dxf>
    <dxf>
      <fill>
        <patternFill patternType="solid">
          <bgColor rgb="FFFFC000"/>
        </patternFill>
      </fill>
    </dxf>
    <dxf>
      <font>
        <color theme="0"/>
      </font>
      <fill>
        <patternFill patternType="solid">
          <bgColor rgb="FFC00000"/>
        </patternFill>
      </fill>
    </dxf>
    <dxf>
      <font>
        <color theme="1"/>
      </font>
      <fill>
        <patternFill patternType="solid">
          <bgColor rgb="FF92D050"/>
        </patternFill>
      </fill>
    </dxf>
    <dxf>
      <font>
        <color theme="0"/>
      </font>
      <fill>
        <patternFill patternType="solid">
          <bgColor rgb="FF00B050"/>
        </patternFill>
      </fill>
    </dxf>
    <dxf>
      <fill>
        <patternFill patternType="solid">
          <bgColor rgb="FFFFFF00"/>
        </patternFill>
      </fill>
    </dxf>
    <dxf>
      <fill>
        <patternFill patternType="solid">
          <bgColor rgb="FFFFC000"/>
        </patternFill>
      </fill>
    </dxf>
    <dxf>
      <font>
        <color theme="0"/>
      </font>
      <fill>
        <patternFill patternType="solid">
          <bgColor rgb="FFC00000"/>
        </patternFill>
      </fill>
    </dxf>
    <dxf>
      <font>
        <color theme="1"/>
      </font>
      <fill>
        <patternFill patternType="solid">
          <bgColor rgb="FF92D050"/>
        </patternFill>
      </fill>
    </dxf>
    <dxf>
      <font>
        <color theme="0"/>
      </font>
      <fill>
        <patternFill patternType="solid">
          <bgColor rgb="FF00B050"/>
        </patternFill>
      </fill>
    </dxf>
    <dxf>
      <fill>
        <patternFill patternType="solid">
          <bgColor rgb="FFFFFF00"/>
        </patternFill>
      </fill>
    </dxf>
    <dxf>
      <fill>
        <patternFill patternType="solid">
          <bgColor rgb="FFFFC000"/>
        </patternFill>
      </fill>
    </dxf>
    <dxf>
      <font>
        <color theme="0"/>
      </font>
      <fill>
        <patternFill patternType="solid">
          <bgColor rgb="FFC00000"/>
        </patternFill>
      </fill>
    </dxf>
    <dxf>
      <font>
        <color theme="1"/>
      </font>
      <fill>
        <patternFill patternType="solid">
          <bgColor rgb="FF92D050"/>
        </patternFill>
      </fill>
    </dxf>
    <dxf>
      <font>
        <color theme="0"/>
      </font>
      <fill>
        <patternFill patternType="solid">
          <bgColor rgb="FF00B050"/>
        </patternFill>
      </fill>
    </dxf>
    <dxf>
      <fill>
        <patternFill patternType="solid">
          <bgColor rgb="FFFFFF00"/>
        </patternFill>
      </fill>
    </dxf>
    <dxf>
      <fill>
        <patternFill patternType="solid">
          <bgColor rgb="FFFFC000"/>
        </patternFill>
      </fill>
    </dxf>
    <dxf>
      <font>
        <color theme="0"/>
      </font>
      <fill>
        <patternFill patternType="solid">
          <bgColor rgb="FFC00000"/>
        </patternFill>
      </fill>
    </dxf>
    <dxf>
      <font>
        <color theme="1"/>
      </font>
      <fill>
        <patternFill>
          <bgColor rgb="FF92D050"/>
        </patternFill>
      </fill>
    </dxf>
    <dxf>
      <font>
        <color theme="0"/>
      </font>
      <fill>
        <patternFill>
          <bgColor rgb="FF00B050"/>
        </patternFill>
      </fill>
    </dxf>
    <dxf>
      <fill>
        <patternFill>
          <bgColor rgb="FFFFFF00"/>
        </patternFill>
      </fill>
    </dxf>
    <dxf>
      <fill>
        <patternFill>
          <bgColor rgb="FFFFC000"/>
        </patternFill>
      </fill>
    </dxf>
    <dxf>
      <font>
        <color theme="0"/>
      </font>
      <fill>
        <patternFill>
          <bgColor rgb="FFC00000"/>
        </patternFill>
      </fill>
    </dxf>
    <dxf>
      <font>
        <color theme="1"/>
      </font>
      <fill>
        <patternFill>
          <bgColor rgb="FF92D050"/>
        </patternFill>
      </fill>
    </dxf>
    <dxf>
      <font>
        <color theme="0"/>
      </font>
      <fill>
        <patternFill>
          <bgColor rgb="FF00B050"/>
        </patternFill>
      </fill>
    </dxf>
    <dxf>
      <fill>
        <patternFill>
          <bgColor rgb="FFFFFF00"/>
        </patternFill>
      </fill>
    </dxf>
    <dxf>
      <fill>
        <patternFill>
          <bgColor rgb="FFFFC000"/>
        </patternFill>
      </fill>
    </dxf>
    <dxf>
      <font>
        <color theme="0"/>
      </font>
      <fill>
        <patternFill>
          <bgColor rgb="FFC00000"/>
        </patternFill>
      </fill>
    </dxf>
    <dxf>
      <font>
        <color theme="0"/>
      </font>
      <fill>
        <patternFill patternType="solid">
          <bgColor rgb="FF00B050"/>
        </patternFill>
      </fill>
    </dxf>
    <dxf>
      <font>
        <color theme="0"/>
      </font>
      <fill>
        <patternFill patternType="solid">
          <bgColor rgb="FFC00000"/>
        </patternFill>
      </fill>
    </dxf>
    <dxf>
      <fill>
        <patternFill patternType="solid">
          <fgColor rgb="FF92D050"/>
          <bgColor rgb="FF92D050"/>
        </patternFill>
      </fill>
    </dxf>
    <dxf>
      <font>
        <color rgb="FFFFFFFF"/>
      </font>
      <fill>
        <patternFill patternType="solid">
          <fgColor rgb="FF00B050"/>
          <bgColor rgb="FF00B050"/>
        </patternFill>
      </fill>
    </dxf>
    <dxf>
      <fill>
        <patternFill patternType="solid">
          <fgColor rgb="FFFFFF00"/>
          <bgColor rgb="FFFFFF00"/>
        </patternFill>
      </fill>
    </dxf>
    <dxf>
      <fill>
        <patternFill patternType="solid">
          <fgColor rgb="FFFFC000"/>
          <bgColor rgb="FFFFC000"/>
        </patternFill>
      </fill>
    </dxf>
    <dxf>
      <font>
        <color rgb="FFFFFFFF"/>
      </font>
      <fill>
        <patternFill patternType="solid">
          <fgColor rgb="FFC00000"/>
          <bgColor rgb="FFC00000"/>
        </patternFill>
      </fill>
    </dxf>
    <dxf>
      <font>
        <color theme="1"/>
      </font>
      <fill>
        <patternFill>
          <bgColor rgb="FF92D050"/>
        </patternFill>
      </fill>
    </dxf>
    <dxf>
      <font>
        <color theme="0"/>
      </font>
      <fill>
        <patternFill>
          <bgColor rgb="FF00B050"/>
        </patternFill>
      </fill>
    </dxf>
    <dxf>
      <fill>
        <patternFill>
          <bgColor rgb="FFFFFF00"/>
        </patternFill>
      </fill>
    </dxf>
    <dxf>
      <fill>
        <patternFill>
          <bgColor rgb="FFFFC000"/>
        </patternFill>
      </fill>
    </dxf>
    <dxf>
      <font>
        <color theme="0"/>
      </font>
      <fill>
        <patternFill>
          <bgColor rgb="FFC00000"/>
        </patternFill>
      </fill>
    </dxf>
    <dxf>
      <font>
        <color theme="1"/>
      </font>
      <fill>
        <patternFill>
          <bgColor rgb="FF92D050"/>
        </patternFill>
      </fill>
    </dxf>
    <dxf>
      <font>
        <color theme="0"/>
      </font>
      <fill>
        <patternFill>
          <bgColor rgb="FF00B050"/>
        </patternFill>
      </fill>
    </dxf>
    <dxf>
      <fill>
        <patternFill>
          <bgColor rgb="FFFFFF00"/>
        </patternFill>
      </fill>
    </dxf>
    <dxf>
      <fill>
        <patternFill>
          <bgColor rgb="FFFFC000"/>
        </patternFill>
      </fill>
    </dxf>
    <dxf>
      <font>
        <color theme="0"/>
      </font>
      <fill>
        <patternFill>
          <bgColor rgb="FFC00000"/>
        </patternFill>
      </fill>
    </dxf>
    <dxf>
      <fill>
        <patternFill patternType="solid">
          <fgColor rgb="FF92D050"/>
          <bgColor rgb="FF92D050"/>
        </patternFill>
      </fill>
    </dxf>
    <dxf>
      <font>
        <color rgb="FFFFFFFF"/>
      </font>
      <fill>
        <patternFill patternType="solid">
          <fgColor rgb="FF00B050"/>
          <bgColor rgb="FF00B050"/>
        </patternFill>
      </fill>
    </dxf>
    <dxf>
      <fill>
        <patternFill patternType="solid">
          <fgColor rgb="FFFFFF00"/>
          <bgColor rgb="FFFFFF00"/>
        </patternFill>
      </fill>
    </dxf>
    <dxf>
      <fill>
        <patternFill patternType="solid">
          <fgColor rgb="FFFFC000"/>
          <bgColor rgb="FFFFC000"/>
        </patternFill>
      </fill>
    </dxf>
    <dxf>
      <font>
        <color rgb="FFFFFFFF"/>
      </font>
      <fill>
        <patternFill patternType="solid">
          <fgColor rgb="FFC00000"/>
          <bgColor rgb="FFC00000"/>
        </patternFill>
      </fill>
    </dxf>
    <dxf>
      <fill>
        <patternFill patternType="solid">
          <fgColor rgb="FF92D050"/>
          <bgColor rgb="FF92D050"/>
        </patternFill>
      </fill>
    </dxf>
    <dxf>
      <font>
        <color rgb="FFFFFFFF"/>
      </font>
      <fill>
        <patternFill patternType="solid">
          <fgColor rgb="FF00B050"/>
          <bgColor rgb="FF00B050"/>
        </patternFill>
      </fill>
    </dxf>
    <dxf>
      <fill>
        <patternFill patternType="solid">
          <fgColor rgb="FFFFFF00"/>
          <bgColor rgb="FFFFFF00"/>
        </patternFill>
      </fill>
    </dxf>
    <dxf>
      <fill>
        <patternFill patternType="solid">
          <fgColor rgb="FFFFC000"/>
          <bgColor rgb="FFFFC000"/>
        </patternFill>
      </fill>
    </dxf>
    <dxf>
      <font>
        <color rgb="FFFFFFFF"/>
      </font>
      <fill>
        <patternFill patternType="solid">
          <fgColor rgb="FFC00000"/>
          <bgColor rgb="FFC00000"/>
        </patternFill>
      </fill>
    </dxf>
    <dxf>
      <fill>
        <patternFill patternType="solid">
          <fgColor rgb="FF92D050"/>
          <bgColor rgb="FF92D050"/>
        </patternFill>
      </fill>
    </dxf>
    <dxf>
      <font>
        <color rgb="FFFFFFFF"/>
      </font>
      <fill>
        <patternFill patternType="solid">
          <fgColor rgb="FF00B050"/>
          <bgColor rgb="FF00B050"/>
        </patternFill>
      </fill>
    </dxf>
    <dxf>
      <fill>
        <patternFill patternType="solid">
          <fgColor rgb="FFFFFF00"/>
          <bgColor rgb="FFFFFF00"/>
        </patternFill>
      </fill>
    </dxf>
    <dxf>
      <fill>
        <patternFill patternType="solid">
          <fgColor rgb="FFFFC000"/>
          <bgColor rgb="FFFFC000"/>
        </patternFill>
      </fill>
    </dxf>
    <dxf>
      <font>
        <color rgb="FFFFFFFF"/>
      </font>
      <fill>
        <patternFill patternType="solid">
          <fgColor rgb="FFC00000"/>
          <bgColor rgb="FFC00000"/>
        </patternFill>
      </fill>
    </dxf>
    <dxf>
      <fill>
        <patternFill patternType="solid">
          <fgColor rgb="FF92D050"/>
          <bgColor rgb="FF92D050"/>
        </patternFill>
      </fill>
    </dxf>
    <dxf>
      <font>
        <color rgb="FFFFFFFF"/>
      </font>
      <fill>
        <patternFill patternType="solid">
          <fgColor rgb="FF00B050"/>
          <bgColor rgb="FF00B050"/>
        </patternFill>
      </fill>
    </dxf>
    <dxf>
      <fill>
        <patternFill patternType="solid">
          <fgColor rgb="FFFFFF00"/>
          <bgColor rgb="FFFFFF00"/>
        </patternFill>
      </fill>
    </dxf>
    <dxf>
      <fill>
        <patternFill patternType="solid">
          <fgColor rgb="FFFFC000"/>
          <bgColor rgb="FFFFC000"/>
        </patternFill>
      </fill>
    </dxf>
    <dxf>
      <font>
        <color rgb="FFFFFFFF"/>
      </font>
      <fill>
        <patternFill patternType="solid">
          <fgColor rgb="FFC00000"/>
          <bgColor rgb="FFC00000"/>
        </patternFill>
      </fill>
    </dxf>
    <dxf>
      <font>
        <color theme="1"/>
      </font>
      <fill>
        <patternFill patternType="solid">
          <bgColor rgb="FF92D050"/>
        </patternFill>
      </fill>
    </dxf>
    <dxf>
      <fill>
        <patternFill patternType="solid">
          <bgColor rgb="FFFFFF00"/>
        </patternFill>
      </fill>
    </dxf>
    <dxf>
      <fill>
        <patternFill patternType="solid">
          <bgColor rgb="FFFFC000"/>
        </patternFill>
      </fill>
    </dxf>
    <dxf>
      <font>
        <color theme="0"/>
      </font>
      <fill>
        <patternFill patternType="solid">
          <bgColor rgb="FF00B050"/>
        </patternFill>
      </fill>
    </dxf>
    <dxf>
      <font>
        <color theme="0"/>
      </font>
      <fill>
        <patternFill patternType="solid">
          <bgColor rgb="FFC00000"/>
        </patternFill>
      </fill>
    </dxf>
    <dxf>
      <font>
        <color theme="0"/>
      </font>
      <fill>
        <patternFill patternType="solid">
          <bgColor rgb="FF00B050"/>
        </patternFill>
      </fill>
    </dxf>
    <dxf>
      <font>
        <color theme="0"/>
      </font>
      <fill>
        <patternFill patternType="solid">
          <bgColor rgb="FFC00000"/>
        </patternFill>
      </fill>
    </dxf>
    <dxf>
      <font>
        <color theme="1"/>
      </font>
      <fill>
        <patternFill patternType="solid">
          <bgColor rgb="FF92D050"/>
        </patternFill>
      </fill>
    </dxf>
    <dxf>
      <font>
        <color theme="0"/>
      </font>
      <fill>
        <patternFill patternType="solid">
          <bgColor rgb="FF00B050"/>
        </patternFill>
      </fill>
    </dxf>
    <dxf>
      <fill>
        <patternFill patternType="solid">
          <bgColor rgb="FFFFFF00"/>
        </patternFill>
      </fill>
    </dxf>
    <dxf>
      <fill>
        <patternFill patternType="solid">
          <bgColor rgb="FFFFC000"/>
        </patternFill>
      </fill>
    </dxf>
    <dxf>
      <font>
        <color theme="0"/>
      </font>
      <fill>
        <patternFill patternType="solid">
          <bgColor rgb="FFC00000"/>
        </patternFill>
      </fill>
    </dxf>
    <dxf>
      <font>
        <color theme="1"/>
      </font>
      <fill>
        <patternFill patternType="solid">
          <bgColor rgb="FF92D050"/>
        </patternFill>
      </fill>
    </dxf>
    <dxf>
      <font>
        <color theme="0"/>
      </font>
      <fill>
        <patternFill patternType="solid">
          <bgColor rgb="FF00B050"/>
        </patternFill>
      </fill>
    </dxf>
    <dxf>
      <fill>
        <patternFill patternType="solid">
          <bgColor rgb="FFFFFF00"/>
        </patternFill>
      </fill>
    </dxf>
    <dxf>
      <fill>
        <patternFill patternType="solid">
          <bgColor rgb="FFFFC000"/>
        </patternFill>
      </fill>
    </dxf>
    <dxf>
      <font>
        <color theme="0"/>
      </font>
      <fill>
        <patternFill patternType="solid">
          <bgColor rgb="FFC00000"/>
        </patternFill>
      </fill>
    </dxf>
    <dxf>
      <font>
        <color theme="1"/>
      </font>
      <fill>
        <patternFill patternType="solid">
          <bgColor rgb="FF92D050"/>
        </patternFill>
      </fill>
    </dxf>
    <dxf>
      <fill>
        <patternFill patternType="solid">
          <bgColor rgb="FFFFFF00"/>
        </patternFill>
      </fill>
    </dxf>
    <dxf>
      <fill>
        <patternFill patternType="solid">
          <bgColor rgb="FFFFC000"/>
        </patternFill>
      </fill>
    </dxf>
  </dxfs>
  <tableStyles count="0" defaultTableStyle="TableStyleMedium2" defaultPivotStyle="PivotStyleLight16"/>
  <colors>
    <mruColors>
      <color rgb="FFFFCC00"/>
      <color rgb="FF9FA1AF"/>
      <color rgb="FFE71939"/>
      <color rgb="FF762123"/>
      <color rgb="FF3F3F3F"/>
      <color rgb="FF6061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1619250</xdr:colOff>
      <xdr:row>0</xdr:row>
      <xdr:rowOff>840236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276600" cy="8401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504825</xdr:colOff>
      <xdr:row>0</xdr:row>
      <xdr:rowOff>840235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0" y="0"/>
          <a:ext cx="3279775" cy="8401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21167</xdr:rowOff>
    </xdr:from>
    <xdr:to>
      <xdr:col>1</xdr:col>
      <xdr:colOff>1273271</xdr:colOff>
      <xdr:row>1</xdr:row>
      <xdr:rowOff>4152</xdr:rowOff>
    </xdr:to>
    <xdr:pic>
      <xdr:nvPicPr>
        <xdr:cNvPr id="3" name="Picture 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20955"/>
          <a:ext cx="3329305" cy="8483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542925</xdr:colOff>
      <xdr:row>0</xdr:row>
      <xdr:rowOff>840235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3273425" cy="8401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BC/Desktop/RCSA/Completed/Foodics%20-%20Pay%20Operations-%20Risk%20Registe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BC/Desktop/RCSA/Completed/Foodics%20pay%20-%20Cyber%20Security,IT,%20DATA%20-%20Risk%20Register%20-%20V3.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BC/Desktop/Sarib/RCSA/2024/RCSA/Procurement/Finalized/Procurement-%20V1.0%2025.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 Control"/>
      <sheetName val="Introductions"/>
      <sheetName val="Availability Risk Register"/>
      <sheetName val="Risk Methedology Matrix"/>
      <sheetName val="Loss Event Type"/>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 Control"/>
      <sheetName val="Introductions"/>
      <sheetName val="Availability Risk Register"/>
      <sheetName val="Asset Risk Register"/>
      <sheetName val="Compliance Risk Register"/>
      <sheetName val="Risk Methedology Matrix"/>
      <sheetName val="Risk Methedology Matrix (2)"/>
    </sheetNames>
    <sheetDataSet>
      <sheetData sheetId="0"/>
      <sheetData sheetId="1"/>
      <sheetData sheetId="2"/>
      <sheetData sheetId="3"/>
      <sheetData sheetId="4"/>
      <sheetData sheetId="5">
        <row r="25">
          <cell r="C25" t="str">
            <v>Negligible</v>
          </cell>
        </row>
      </sheetData>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 Control"/>
      <sheetName val="Introductions"/>
      <sheetName val="Availability Risk Register"/>
      <sheetName val="Asset Risk Register"/>
      <sheetName val="Compliance Risk Register"/>
      <sheetName val="Risk Methedology Matrix"/>
      <sheetName val="Risk Methedology Matrix (2)"/>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Foodics Office Theme">
  <a:themeElements>
    <a:clrScheme name="Foodics Standard">
      <a:dk1>
        <a:sysClr val="windowText" lastClr="000000"/>
      </a:dk1>
      <a:lt1>
        <a:sysClr val="window" lastClr="FFFFFF"/>
      </a:lt1>
      <a:dk2>
        <a:srgbClr val="1F497D"/>
      </a:dk2>
      <a:lt2>
        <a:srgbClr val="EEECE1"/>
      </a:lt2>
      <a:accent1>
        <a:srgbClr val="5830C5"/>
      </a:accent1>
      <a:accent2>
        <a:srgbClr val="312490"/>
      </a:accent2>
      <a:accent3>
        <a:srgbClr val="78C4DD"/>
      </a:accent3>
      <a:accent4>
        <a:srgbClr val="E3E8EC"/>
      </a:accent4>
      <a:accent5>
        <a:srgbClr val="2E2D2C"/>
      </a:accent5>
      <a:accent6>
        <a:srgbClr val="808080"/>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38"/>
  <sheetViews>
    <sheetView showGridLines="0" topLeftCell="A5" workbookViewId="0">
      <selection activeCell="A29" sqref="A29:B29"/>
    </sheetView>
  </sheetViews>
  <sheetFormatPr defaultColWidth="9.1796875" defaultRowHeight="12"/>
  <cols>
    <col min="1" max="1" width="23.7265625" style="66" customWidth="1"/>
    <col min="2" max="2" width="42.7265625" style="66" customWidth="1"/>
    <col min="3" max="3" width="26.54296875" style="66" customWidth="1"/>
    <col min="4" max="4" width="26.453125" style="66" customWidth="1"/>
    <col min="5" max="5" width="12.81640625" style="66" customWidth="1"/>
    <col min="6" max="16384" width="9.1796875" style="66"/>
  </cols>
  <sheetData>
    <row r="1" spans="1:5" ht="68.150000000000006" customHeight="1">
      <c r="A1" s="67"/>
      <c r="B1" s="376"/>
      <c r="C1" s="376"/>
      <c r="D1" s="376"/>
      <c r="E1" s="68"/>
    </row>
    <row r="2" spans="1:5">
      <c r="A2" s="377" t="s">
        <v>0</v>
      </c>
      <c r="B2" s="377"/>
      <c r="C2" s="377"/>
      <c r="D2" s="377"/>
      <c r="E2" s="377"/>
    </row>
    <row r="3" spans="1:5">
      <c r="A3" s="382" t="s">
        <v>1</v>
      </c>
      <c r="B3" s="382"/>
      <c r="C3" s="382"/>
      <c r="D3" s="70" t="s">
        <v>2</v>
      </c>
      <c r="E3" s="71">
        <v>45685</v>
      </c>
    </row>
    <row r="4" spans="1:5" ht="15" customHeight="1">
      <c r="A4" s="382"/>
      <c r="B4" s="382"/>
      <c r="C4" s="382"/>
      <c r="D4" s="70" t="s">
        <v>3</v>
      </c>
      <c r="E4" s="72">
        <v>1</v>
      </c>
    </row>
    <row r="5" spans="1:5" ht="15" customHeight="1">
      <c r="A5" s="382"/>
      <c r="B5" s="382"/>
      <c r="C5" s="382"/>
      <c r="D5" s="70" t="s">
        <v>4</v>
      </c>
      <c r="E5" s="73" t="s">
        <v>5</v>
      </c>
    </row>
    <row r="6" spans="1:5">
      <c r="A6" s="382"/>
      <c r="B6" s="382"/>
      <c r="C6" s="382"/>
      <c r="D6" s="70" t="s">
        <v>6</v>
      </c>
      <c r="E6" s="74" t="s">
        <v>7</v>
      </c>
    </row>
    <row r="7" spans="1:5" ht="14">
      <c r="A7" s="378" t="s">
        <v>8</v>
      </c>
      <c r="B7" s="379"/>
      <c r="C7" s="379"/>
      <c r="D7" s="379"/>
      <c r="E7" s="380"/>
    </row>
    <row r="8" spans="1:5">
      <c r="A8" s="75"/>
      <c r="B8" s="76"/>
      <c r="C8" s="76"/>
      <c r="D8" s="76"/>
      <c r="E8" s="77"/>
    </row>
    <row r="9" spans="1:5">
      <c r="A9" s="381" t="s">
        <v>9</v>
      </c>
      <c r="B9" s="385" t="s">
        <v>10</v>
      </c>
      <c r="C9" s="375" t="s">
        <v>11</v>
      </c>
      <c r="D9" s="383">
        <v>4</v>
      </c>
      <c r="E9" s="77"/>
    </row>
    <row r="10" spans="1:5">
      <c r="A10" s="381"/>
      <c r="B10" s="386"/>
      <c r="C10" s="375"/>
      <c r="D10" s="384"/>
      <c r="E10" s="77"/>
    </row>
    <row r="11" spans="1:5">
      <c r="A11" s="78"/>
      <c r="B11" s="79"/>
      <c r="C11" s="79"/>
      <c r="D11" s="79"/>
      <c r="E11" s="80"/>
    </row>
    <row r="12" spans="1:5" ht="14">
      <c r="A12" s="378" t="s">
        <v>12</v>
      </c>
      <c r="B12" s="379"/>
      <c r="C12" s="379"/>
      <c r="D12" s="379"/>
      <c r="E12" s="380"/>
    </row>
    <row r="13" spans="1:5">
      <c r="A13" s="81"/>
      <c r="B13" s="76"/>
      <c r="C13" s="76"/>
      <c r="D13" s="76"/>
      <c r="E13" s="82"/>
    </row>
    <row r="14" spans="1:5">
      <c r="A14" s="375" t="s">
        <v>13</v>
      </c>
      <c r="B14" s="367" t="s">
        <v>14</v>
      </c>
      <c r="C14" s="368"/>
      <c r="D14" s="369"/>
      <c r="E14" s="77"/>
    </row>
    <row r="15" spans="1:5">
      <c r="A15" s="375"/>
      <c r="B15" s="370"/>
      <c r="C15" s="371"/>
      <c r="D15" s="372"/>
      <c r="E15" s="77"/>
    </row>
    <row r="16" spans="1:5">
      <c r="A16" s="83"/>
      <c r="B16" s="76"/>
      <c r="C16" s="76"/>
      <c r="D16" s="76"/>
      <c r="E16" s="77"/>
    </row>
    <row r="17" spans="1:5">
      <c r="A17" s="375" t="s">
        <v>15</v>
      </c>
      <c r="B17" s="364" t="s">
        <v>16</v>
      </c>
      <c r="C17" s="375" t="s">
        <v>17</v>
      </c>
      <c r="D17" s="364" t="s">
        <v>18</v>
      </c>
      <c r="E17" s="77"/>
    </row>
    <row r="18" spans="1:5">
      <c r="A18" s="375"/>
      <c r="B18" s="364"/>
      <c r="C18" s="375"/>
      <c r="D18" s="364"/>
      <c r="E18" s="77"/>
    </row>
    <row r="19" spans="1:5">
      <c r="A19" s="84"/>
      <c r="B19" s="76"/>
      <c r="C19" s="76"/>
      <c r="D19" s="76"/>
      <c r="E19" s="80"/>
    </row>
    <row r="20" spans="1:5" ht="14">
      <c r="A20" s="378" t="s">
        <v>19</v>
      </c>
      <c r="B20" s="379"/>
      <c r="C20" s="379"/>
      <c r="D20" s="379"/>
      <c r="E20" s="380"/>
    </row>
    <row r="21" spans="1:5">
      <c r="A21" s="76"/>
      <c r="B21" s="76"/>
      <c r="C21" s="76"/>
      <c r="D21" s="76"/>
      <c r="E21" s="82"/>
    </row>
    <row r="22" spans="1:5">
      <c r="A22" s="399" t="s">
        <v>20</v>
      </c>
      <c r="B22" s="388"/>
      <c r="C22" s="375" t="s">
        <v>21</v>
      </c>
      <c r="D22" s="365"/>
      <c r="E22" s="77"/>
    </row>
    <row r="23" spans="1:5">
      <c r="A23" s="387"/>
      <c r="B23" s="388"/>
      <c r="C23" s="375"/>
      <c r="D23" s="366"/>
      <c r="E23" s="77"/>
    </row>
    <row r="24" spans="1:5">
      <c r="A24" s="76"/>
      <c r="B24" s="76"/>
      <c r="C24" s="76"/>
      <c r="D24" s="76"/>
      <c r="E24" s="77"/>
    </row>
    <row r="25" spans="1:5">
      <c r="A25" s="397" t="s">
        <v>22</v>
      </c>
      <c r="B25" s="388"/>
      <c r="C25" s="375" t="s">
        <v>21</v>
      </c>
      <c r="D25" s="365"/>
      <c r="E25" s="77"/>
    </row>
    <row r="26" spans="1:5">
      <c r="A26" s="398"/>
      <c r="B26" s="388"/>
      <c r="C26" s="375"/>
      <c r="D26" s="366"/>
      <c r="E26" s="77"/>
    </row>
    <row r="27" spans="1:5">
      <c r="A27" s="76"/>
      <c r="B27" s="76"/>
      <c r="C27" s="76"/>
      <c r="D27" s="76"/>
      <c r="E27" s="80"/>
    </row>
    <row r="28" spans="1:5" ht="14">
      <c r="A28" s="378" t="s">
        <v>23</v>
      </c>
      <c r="B28" s="379"/>
      <c r="C28" s="379"/>
      <c r="D28" s="379"/>
      <c r="E28" s="380"/>
    </row>
    <row r="29" spans="1:5" ht="21" customHeight="1">
      <c r="A29" s="390" t="s">
        <v>24</v>
      </c>
      <c r="B29" s="391"/>
      <c r="C29" s="45" t="s">
        <v>25</v>
      </c>
      <c r="D29" s="45" t="s">
        <v>21</v>
      </c>
      <c r="E29" s="45" t="s">
        <v>26</v>
      </c>
    </row>
    <row r="30" spans="1:5" ht="21" customHeight="1">
      <c r="A30" s="392" t="s">
        <v>27</v>
      </c>
      <c r="B30" s="393"/>
      <c r="C30" s="86" t="s">
        <v>18</v>
      </c>
      <c r="D30" s="71">
        <v>45685</v>
      </c>
      <c r="E30" s="72">
        <v>0.1</v>
      </c>
    </row>
    <row r="31" spans="1:5" ht="21" customHeight="1">
      <c r="A31" s="392"/>
      <c r="B31" s="393"/>
      <c r="C31" s="86"/>
      <c r="D31" s="71"/>
      <c r="E31" s="72"/>
    </row>
    <row r="32" spans="1:5" ht="14">
      <c r="A32" s="394" t="s">
        <v>28</v>
      </c>
      <c r="B32" s="395"/>
      <c r="C32" s="395"/>
      <c r="D32" s="395"/>
      <c r="E32" s="396"/>
    </row>
    <row r="33" spans="1:5">
      <c r="A33" s="87"/>
      <c r="B33" s="88"/>
      <c r="C33" s="88"/>
      <c r="D33" s="88"/>
      <c r="E33" s="89"/>
    </row>
    <row r="34" spans="1:5">
      <c r="A34" s="387" t="s">
        <v>29</v>
      </c>
      <c r="B34" s="383" t="s">
        <v>30</v>
      </c>
      <c r="C34" s="375" t="s">
        <v>31</v>
      </c>
      <c r="D34" s="373" t="s">
        <v>32</v>
      </c>
      <c r="E34" s="90"/>
    </row>
    <row r="35" spans="1:5">
      <c r="A35" s="387"/>
      <c r="B35" s="389"/>
      <c r="C35" s="375"/>
      <c r="D35" s="374"/>
      <c r="E35" s="90"/>
    </row>
    <row r="36" spans="1:5">
      <c r="A36" s="91"/>
      <c r="B36" s="92"/>
      <c r="C36" s="92"/>
      <c r="D36" s="92"/>
      <c r="E36" s="93"/>
    </row>
    <row r="37" spans="1:5" ht="21.75" customHeight="1">
      <c r="A37" s="94" t="s">
        <v>26</v>
      </c>
      <c r="B37" s="94" t="s">
        <v>33</v>
      </c>
      <c r="C37" s="94" t="s">
        <v>34</v>
      </c>
      <c r="D37" s="94" t="s">
        <v>35</v>
      </c>
      <c r="E37" s="94" t="s">
        <v>36</v>
      </c>
    </row>
    <row r="38" spans="1:5" ht="21.75" customHeight="1">
      <c r="A38" s="72"/>
      <c r="B38" s="71"/>
      <c r="C38" s="71"/>
      <c r="D38" s="85"/>
      <c r="E38" s="85"/>
    </row>
  </sheetData>
  <sheetProtection selectLockedCells="1"/>
  <mergeCells count="33">
    <mergeCell ref="A34:A35"/>
    <mergeCell ref="B22:B23"/>
    <mergeCell ref="B25:B26"/>
    <mergeCell ref="B34:B35"/>
    <mergeCell ref="A28:E28"/>
    <mergeCell ref="A29:B29"/>
    <mergeCell ref="A30:B30"/>
    <mergeCell ref="A31:B31"/>
    <mergeCell ref="A32:E32"/>
    <mergeCell ref="A25:A26"/>
    <mergeCell ref="D25:D26"/>
    <mergeCell ref="A22:A23"/>
    <mergeCell ref="B1:D1"/>
    <mergeCell ref="A2:E2"/>
    <mergeCell ref="A7:E7"/>
    <mergeCell ref="A12:E12"/>
    <mergeCell ref="A20:E20"/>
    <mergeCell ref="A9:A10"/>
    <mergeCell ref="A14:A15"/>
    <mergeCell ref="A17:A18"/>
    <mergeCell ref="C9:C10"/>
    <mergeCell ref="C17:C18"/>
    <mergeCell ref="A3:C6"/>
    <mergeCell ref="D9:D10"/>
    <mergeCell ref="B9:B10"/>
    <mergeCell ref="D17:D18"/>
    <mergeCell ref="B17:B18"/>
    <mergeCell ref="D22:D23"/>
    <mergeCell ref="B14:D15"/>
    <mergeCell ref="D34:D35"/>
    <mergeCell ref="C25:C26"/>
    <mergeCell ref="C34:C35"/>
    <mergeCell ref="C22:C23"/>
  </mergeCells>
  <pageMargins left="0.7" right="0.7" top="0.75" bottom="0.75" header="0.3" footer="0.3"/>
  <pageSetup orientation="portrait" r:id="rId1"/>
  <headerFooter>
    <oddHeader>&amp;C&amp;K00FF00&amp;10&amp;"Calibri" Classification: &amp;K00FF00&amp;10&amp;"Calibri"&amp;BRestricted مقيَد&amp;B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Q187"/>
  <sheetViews>
    <sheetView showGridLines="0" workbookViewId="0">
      <selection activeCell="M8" sqref="M8"/>
    </sheetView>
  </sheetViews>
  <sheetFormatPr defaultColWidth="9.1796875" defaultRowHeight="12"/>
  <cols>
    <col min="1" max="1" width="14.54296875" style="66" customWidth="1"/>
    <col min="2" max="2" width="9.1796875" style="66"/>
    <col min="3" max="3" width="16" style="66" customWidth="1"/>
    <col min="4" max="4" width="71" style="66" customWidth="1"/>
    <col min="5" max="5" width="19.54296875" style="66" customWidth="1"/>
    <col min="6" max="16384" width="9.1796875" style="66"/>
  </cols>
  <sheetData>
    <row r="1" spans="1:5" ht="68.150000000000006" customHeight="1">
      <c r="A1" s="67"/>
      <c r="B1" s="376"/>
      <c r="C1" s="376"/>
      <c r="D1" s="376"/>
      <c r="E1" s="68"/>
    </row>
    <row r="2" spans="1:5">
      <c r="A2" s="377" t="s">
        <v>0</v>
      </c>
      <c r="B2" s="377"/>
      <c r="C2" s="377"/>
      <c r="D2" s="377"/>
      <c r="E2" s="377"/>
    </row>
    <row r="3" spans="1:5" ht="14">
      <c r="A3" s="400" t="s">
        <v>1</v>
      </c>
      <c r="B3" s="400"/>
      <c r="C3" s="400"/>
      <c r="D3" s="400"/>
      <c r="E3" s="400"/>
    </row>
    <row r="4" spans="1:5" ht="24.65" customHeight="1">
      <c r="A4" s="69" t="s">
        <v>37</v>
      </c>
      <c r="B4" s="401" t="s">
        <v>38</v>
      </c>
      <c r="C4" s="402"/>
      <c r="D4" s="402"/>
      <c r="E4" s="403"/>
    </row>
    <row r="5" spans="1:5" ht="16.5" customHeight="1">
      <c r="A5" s="406" t="s">
        <v>39</v>
      </c>
      <c r="B5" s="401" t="s">
        <v>40</v>
      </c>
      <c r="C5" s="402"/>
      <c r="D5" s="402"/>
      <c r="E5" s="403"/>
    </row>
    <row r="6" spans="1:5" ht="16.5" customHeight="1">
      <c r="A6" s="407"/>
      <c r="B6" s="401" t="s">
        <v>41</v>
      </c>
      <c r="C6" s="404"/>
      <c r="D6" s="404"/>
      <c r="E6" s="405"/>
    </row>
    <row r="7" spans="1:5" ht="16.5" customHeight="1">
      <c r="A7" s="407"/>
      <c r="B7" s="401" t="s">
        <v>42</v>
      </c>
      <c r="C7" s="402"/>
      <c r="D7" s="402"/>
      <c r="E7" s="403"/>
    </row>
    <row r="8" spans="1:5" ht="16.5" customHeight="1">
      <c r="A8" s="407"/>
      <c r="B8" s="401" t="s">
        <v>43</v>
      </c>
      <c r="C8" s="402"/>
      <c r="D8" s="402"/>
      <c r="E8" s="403"/>
    </row>
    <row r="9" spans="1:5" ht="16.5" customHeight="1">
      <c r="A9" s="408"/>
      <c r="B9" s="401" t="s">
        <v>44</v>
      </c>
      <c r="C9" s="402"/>
      <c r="D9" s="402"/>
      <c r="E9" s="403"/>
    </row>
    <row r="19" spans="11:17" ht="156">
      <c r="O19" s="66" t="s">
        <v>1767</v>
      </c>
      <c r="P19" s="66" t="s">
        <v>1768</v>
      </c>
      <c r="Q19" s="66" t="s">
        <v>1763</v>
      </c>
    </row>
    <row r="21" spans="11:17" ht="409.5">
      <c r="K21" s="311" t="s">
        <v>1769</v>
      </c>
    </row>
    <row r="22" spans="11:17" ht="409.5">
      <c r="K22" s="311" t="s">
        <v>1770</v>
      </c>
    </row>
    <row r="23" spans="11:17" ht="60">
      <c r="K23" s="66" t="s">
        <v>1771</v>
      </c>
    </row>
    <row r="125" spans="11:11">
      <c r="K125" s="313"/>
    </row>
    <row r="126" spans="11:11">
      <c r="K126" s="313"/>
    </row>
    <row r="127" spans="11:11">
      <c r="K127" s="313"/>
    </row>
    <row r="128" spans="11:11">
      <c r="K128" s="313"/>
    </row>
    <row r="129" spans="11:11">
      <c r="K129" s="313"/>
    </row>
    <row r="130" spans="11:11">
      <c r="K130" s="313"/>
    </row>
    <row r="131" spans="11:11">
      <c r="K131" s="313"/>
    </row>
    <row r="132" spans="11:11">
      <c r="K132" s="313"/>
    </row>
    <row r="133" spans="11:11">
      <c r="K133" s="313"/>
    </row>
    <row r="134" spans="11:11">
      <c r="K134" s="313"/>
    </row>
    <row r="135" spans="11:11">
      <c r="K135" s="313"/>
    </row>
    <row r="136" spans="11:11">
      <c r="K136" s="313"/>
    </row>
    <row r="137" spans="11:11">
      <c r="K137" s="313"/>
    </row>
    <row r="138" spans="11:11">
      <c r="K138" s="313"/>
    </row>
    <row r="139" spans="11:11">
      <c r="K139" s="313"/>
    </row>
    <row r="140" spans="11:11">
      <c r="K140" s="313"/>
    </row>
    <row r="141" spans="11:11">
      <c r="K141" s="313"/>
    </row>
    <row r="142" spans="11:11">
      <c r="K142" s="313"/>
    </row>
    <row r="143" spans="11:11">
      <c r="K143" s="313"/>
    </row>
    <row r="144" spans="11:11">
      <c r="K144" s="313"/>
    </row>
    <row r="145" spans="11:11">
      <c r="K145" s="313"/>
    </row>
    <row r="146" spans="11:11">
      <c r="K146" s="313"/>
    </row>
    <row r="147" spans="11:11">
      <c r="K147" s="313"/>
    </row>
    <row r="148" spans="11:11">
      <c r="K148" s="313"/>
    </row>
    <row r="149" spans="11:11">
      <c r="K149" s="313"/>
    </row>
    <row r="150" spans="11:11">
      <c r="K150" s="313"/>
    </row>
    <row r="151" spans="11:11" ht="144">
      <c r="K151" s="313" t="s">
        <v>1772</v>
      </c>
    </row>
    <row r="152" spans="11:11">
      <c r="K152" s="313"/>
    </row>
    <row r="153" spans="11:11" ht="409.5">
      <c r="K153" s="314" t="s">
        <v>1773</v>
      </c>
    </row>
    <row r="154" spans="11:11">
      <c r="K154" s="313"/>
    </row>
    <row r="172" spans="3:5">
      <c r="C172" s="317"/>
      <c r="E172" s="317"/>
    </row>
    <row r="173" spans="3:5" ht="276">
      <c r="C173" s="317"/>
      <c r="E173" s="317" t="s">
        <v>1774</v>
      </c>
    </row>
    <row r="174" spans="3:5">
      <c r="C174" s="317"/>
      <c r="E174" s="317"/>
    </row>
    <row r="175" spans="3:5">
      <c r="C175" s="317"/>
      <c r="E175" s="317"/>
    </row>
    <row r="176" spans="3:5">
      <c r="C176" s="317"/>
      <c r="E176" s="317"/>
    </row>
    <row r="177" spans="3:11">
      <c r="C177" s="317"/>
      <c r="E177" s="317"/>
    </row>
    <row r="178" spans="3:11">
      <c r="C178" s="317"/>
      <c r="E178" s="317"/>
    </row>
    <row r="179" spans="3:11">
      <c r="C179" s="317"/>
      <c r="E179" s="317"/>
    </row>
    <row r="180" spans="3:11">
      <c r="C180" s="317"/>
      <c r="E180" s="317"/>
    </row>
    <row r="181" spans="3:11">
      <c r="C181" s="317"/>
      <c r="E181" s="317"/>
    </row>
    <row r="182" spans="3:11">
      <c r="C182" s="317"/>
      <c r="E182" s="317"/>
    </row>
    <row r="183" spans="3:11">
      <c r="C183" s="317"/>
      <c r="E183" s="317"/>
    </row>
    <row r="184" spans="3:11">
      <c r="C184" s="317"/>
      <c r="E184" s="317"/>
    </row>
    <row r="185" spans="3:11">
      <c r="C185" s="317"/>
      <c r="E185" s="317"/>
    </row>
    <row r="186" spans="3:11" ht="172.5" customHeight="1">
      <c r="C186" s="317"/>
      <c r="E186" s="317"/>
      <c r="K186" s="324" t="s">
        <v>1614</v>
      </c>
    </row>
    <row r="187" spans="3:11">
      <c r="C187" s="317"/>
      <c r="E187" s="317"/>
      <c r="K187" s="317"/>
    </row>
  </sheetData>
  <sheetProtection selectLockedCells="1"/>
  <mergeCells count="10">
    <mergeCell ref="B6:E6"/>
    <mergeCell ref="B7:E7"/>
    <mergeCell ref="B8:E8"/>
    <mergeCell ref="B9:E9"/>
    <mergeCell ref="A5:A9"/>
    <mergeCell ref="B1:D1"/>
    <mergeCell ref="A2:E2"/>
    <mergeCell ref="A3:E3"/>
    <mergeCell ref="B4:E4"/>
    <mergeCell ref="B5:E5"/>
  </mergeCells>
  <pageMargins left="0.7" right="0.7" top="0.75" bottom="0.75" header="0.3" footer="0.3"/>
  <pageSetup orientation="portrait" r:id="rId1"/>
  <headerFooter>
    <oddHeader>&amp;C&amp;K00FF00&amp;10&amp;"Calibri" Classification: &amp;K00FF00&amp;10&amp;"Calibri"&amp;BRestricted مقيَد&amp;B</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V399"/>
  <sheetViews>
    <sheetView showGridLines="0" tabSelected="1" topLeftCell="D1" zoomScale="55" zoomScaleNormal="55" workbookViewId="0">
      <pane ySplit="7" topLeftCell="A364" activePane="bottomLeft" state="frozen"/>
      <selection pane="bottomLeft" activeCell="K383" sqref="K383"/>
    </sheetView>
  </sheetViews>
  <sheetFormatPr defaultColWidth="9.1796875" defaultRowHeight="12"/>
  <cols>
    <col min="1" max="1" width="29.54296875" style="14" customWidth="1"/>
    <col min="2" max="2" width="24.26953125" style="14" customWidth="1"/>
    <col min="3" max="3" width="62.90625" style="42" customWidth="1"/>
    <col min="4" max="4" width="23.26953125" style="43" customWidth="1"/>
    <col min="5" max="5" width="111.453125" style="44" customWidth="1"/>
    <col min="6" max="6" width="25.26953125" style="14" customWidth="1"/>
    <col min="7" max="7" width="24.1796875" style="14" customWidth="1"/>
    <col min="8" max="9" width="4.453125" style="14" hidden="1" customWidth="1"/>
    <col min="10" max="10" width="24.7265625" style="14" customWidth="1"/>
    <col min="11" max="11" width="94.6328125" style="14" customWidth="1"/>
    <col min="12" max="12" width="23.81640625" style="14" customWidth="1"/>
    <col min="13" max="13" width="35" style="14" bestFit="1" customWidth="1"/>
    <col min="14" max="14" width="41.81640625" style="14" customWidth="1"/>
    <col min="15" max="16" width="33.81640625" style="14" customWidth="1"/>
    <col min="17" max="17" width="25.453125" style="14" customWidth="1"/>
    <col min="18" max="19" width="23.81640625" style="14" customWidth="1"/>
    <col min="20" max="20" width="10.7265625" style="14" hidden="1" customWidth="1"/>
    <col min="21" max="21" width="12.26953125" style="14" customWidth="1"/>
    <col min="22" max="22" width="38.26953125" style="14" customWidth="1"/>
    <col min="23" max="16384" width="9.1796875" style="14"/>
  </cols>
  <sheetData>
    <row r="1" spans="1:22" ht="68.150000000000006" customHeight="1">
      <c r="A1" s="409"/>
      <c r="B1" s="409"/>
      <c r="C1" s="410"/>
      <c r="D1" s="411"/>
      <c r="E1" s="411"/>
      <c r="F1" s="411"/>
      <c r="G1" s="411"/>
      <c r="H1" s="411"/>
      <c r="I1" s="411"/>
      <c r="J1" s="411"/>
      <c r="K1" s="411"/>
      <c r="L1" s="411"/>
      <c r="M1" s="411"/>
      <c r="N1" s="411"/>
      <c r="O1" s="411"/>
      <c r="P1" s="411"/>
      <c r="Q1" s="411"/>
      <c r="R1" s="411"/>
      <c r="S1" s="411"/>
    </row>
    <row r="2" spans="1:22">
      <c r="A2" s="412" t="s">
        <v>0</v>
      </c>
      <c r="B2" s="413"/>
      <c r="C2" s="413"/>
      <c r="D2" s="411"/>
      <c r="E2" s="411"/>
      <c r="F2" s="411"/>
      <c r="G2" s="411"/>
      <c r="H2" s="411"/>
      <c r="I2" s="411"/>
      <c r="J2" s="411"/>
      <c r="K2" s="411"/>
      <c r="L2" s="411"/>
      <c r="M2" s="411"/>
      <c r="N2" s="411"/>
      <c r="O2" s="411"/>
      <c r="P2" s="411"/>
      <c r="Q2" s="411"/>
      <c r="R2" s="411"/>
      <c r="S2" s="411"/>
    </row>
    <row r="3" spans="1:22" ht="14">
      <c r="A3" s="414" t="s">
        <v>267</v>
      </c>
      <c r="B3" s="415"/>
      <c r="C3" s="415"/>
      <c r="D3" s="416"/>
      <c r="E3" s="416"/>
      <c r="F3" s="416"/>
      <c r="G3" s="416"/>
      <c r="H3" s="416"/>
      <c r="I3" s="416"/>
      <c r="J3" s="416"/>
      <c r="K3" s="416"/>
      <c r="L3" s="416"/>
      <c r="M3" s="416"/>
      <c r="N3" s="416"/>
      <c r="O3" s="416"/>
      <c r="P3" s="416"/>
      <c r="Q3" s="416"/>
      <c r="R3" s="416"/>
      <c r="S3" s="416"/>
    </row>
    <row r="4" spans="1:22" ht="14">
      <c r="A4" s="428" t="s">
        <v>45</v>
      </c>
      <c r="B4" s="429"/>
      <c r="C4" s="429"/>
      <c r="D4" s="430"/>
      <c r="E4" s="430"/>
      <c r="F4" s="430"/>
      <c r="G4" s="430"/>
      <c r="H4" s="430"/>
      <c r="I4" s="430"/>
      <c r="J4" s="430"/>
      <c r="K4" s="430"/>
      <c r="L4" s="430"/>
      <c r="M4" s="430"/>
      <c r="N4" s="430"/>
      <c r="O4" s="430"/>
      <c r="P4" s="430"/>
      <c r="Q4" s="430"/>
      <c r="R4" s="430"/>
      <c r="S4" s="430"/>
    </row>
    <row r="5" spans="1:22">
      <c r="A5" s="419" t="s">
        <v>46</v>
      </c>
      <c r="B5" s="420" t="s">
        <v>47</v>
      </c>
      <c r="C5" s="419" t="s">
        <v>48</v>
      </c>
      <c r="D5" s="419" t="s">
        <v>49</v>
      </c>
      <c r="E5" s="421" t="s">
        <v>50</v>
      </c>
      <c r="F5" s="419" t="s">
        <v>51</v>
      </c>
      <c r="G5" s="419" t="s">
        <v>52</v>
      </c>
      <c r="H5" s="422" t="s">
        <v>53</v>
      </c>
      <c r="I5" s="423"/>
      <c r="J5" s="419" t="s">
        <v>54</v>
      </c>
      <c r="K5" s="419" t="s">
        <v>55</v>
      </c>
      <c r="L5" s="419" t="s">
        <v>56</v>
      </c>
      <c r="M5" s="431" t="s">
        <v>57</v>
      </c>
      <c r="N5" s="426" t="s">
        <v>577</v>
      </c>
      <c r="O5" s="419" t="s">
        <v>58</v>
      </c>
      <c r="P5" s="419" t="s">
        <v>59</v>
      </c>
      <c r="Q5" s="434" t="s">
        <v>60</v>
      </c>
      <c r="R5" s="419" t="s">
        <v>56</v>
      </c>
      <c r="S5" s="419" t="s">
        <v>61</v>
      </c>
      <c r="U5" s="433" t="s">
        <v>6</v>
      </c>
      <c r="V5" s="433" t="s">
        <v>1172</v>
      </c>
    </row>
    <row r="6" spans="1:22" ht="12" customHeight="1">
      <c r="A6" s="419"/>
      <c r="B6" s="420"/>
      <c r="C6" s="419"/>
      <c r="D6" s="419"/>
      <c r="E6" s="421"/>
      <c r="F6" s="419"/>
      <c r="G6" s="419"/>
      <c r="H6" s="424"/>
      <c r="I6" s="425"/>
      <c r="J6" s="419"/>
      <c r="K6" s="419"/>
      <c r="L6" s="419"/>
      <c r="M6" s="432"/>
      <c r="N6" s="427"/>
      <c r="O6" s="419"/>
      <c r="P6" s="419"/>
      <c r="Q6" s="435"/>
      <c r="R6" s="419"/>
      <c r="S6" s="419"/>
      <c r="U6" s="433"/>
      <c r="V6" s="433"/>
    </row>
    <row r="7" spans="1:22" s="39" customFormat="1" ht="46">
      <c r="A7" s="46" t="s">
        <v>62</v>
      </c>
      <c r="B7" s="46"/>
      <c r="C7" s="46" t="s">
        <v>63</v>
      </c>
      <c r="D7" s="46" t="s">
        <v>64</v>
      </c>
      <c r="E7" s="46" t="s">
        <v>65</v>
      </c>
      <c r="F7" s="46" t="s">
        <v>66</v>
      </c>
      <c r="G7" s="46" t="s">
        <v>67</v>
      </c>
      <c r="H7" s="417" t="s">
        <v>68</v>
      </c>
      <c r="I7" s="418"/>
      <c r="J7" s="46" t="s">
        <v>69</v>
      </c>
      <c r="K7" s="46" t="s">
        <v>1616</v>
      </c>
      <c r="L7" s="46" t="s">
        <v>70</v>
      </c>
      <c r="M7" s="46" t="s">
        <v>71</v>
      </c>
      <c r="N7" s="46"/>
      <c r="O7" s="46" t="s">
        <v>72</v>
      </c>
      <c r="P7" s="46" t="s">
        <v>73</v>
      </c>
      <c r="Q7" s="46" t="s">
        <v>74</v>
      </c>
      <c r="R7" s="46" t="s">
        <v>75</v>
      </c>
      <c r="S7" s="46" t="s">
        <v>76</v>
      </c>
      <c r="T7" s="39" t="s">
        <v>77</v>
      </c>
      <c r="U7" s="433"/>
      <c r="V7" s="433"/>
    </row>
    <row r="8" spans="1:22" s="40" customFormat="1" ht="48" customHeight="1">
      <c r="A8" s="255" t="s">
        <v>78</v>
      </c>
      <c r="B8" s="256" t="s">
        <v>79</v>
      </c>
      <c r="C8" s="257" t="s">
        <v>80</v>
      </c>
      <c r="D8" s="85" t="s">
        <v>1395</v>
      </c>
      <c r="E8" s="48" t="s">
        <v>81</v>
      </c>
      <c r="F8" s="47" t="s">
        <v>83</v>
      </c>
      <c r="G8" s="47" t="s">
        <v>84</v>
      </c>
      <c r="H8" s="58">
        <f>IF(F8='Risk Methedology Matrix'!B$26,5,IF(F8='Risk Methedology Matrix'!B$27,4,IF(F8='Risk Methedology Matrix'!B$28,3,IF(F8='Risk Methedology Matrix'!B$29,2,IF(F8='Risk Methedology Matrix'!B$30,1,0)))))</f>
        <v>4</v>
      </c>
      <c r="I8" s="58">
        <f>IF(G8='Risk Methedology Matrix'!G$25,5,IF(G8='Risk Methedology Matrix'!F$25,4,IF(G8='Risk Methedology Matrix'!E$25,3,IF(G8='Risk Methedology Matrix'!D$25,2,IF(G8='Risk Methedology Matrix'!C$25,1,0)))))</f>
        <v>4</v>
      </c>
      <c r="J8" s="58" t="str">
        <f>IF(OR(F8="",G8=""),"",IF(H8*I8&gt;=20,"Very High",IF(AND(H8*I8&lt;20,H8*I8&gt;=11),"High",IF(AND(H8*I8&lt;11,H8*I8&gt;=6),"Medium",IF(AND(H8*I8&lt;6,H8*I8&gt;=3),"Low",IF(AND(H8*I8&lt;3,H8*I8&gt;=1),"Very Low",""))))))</f>
        <v>High</v>
      </c>
      <c r="K8" s="59" t="s">
        <v>1323</v>
      </c>
      <c r="L8" s="47" t="s">
        <v>169</v>
      </c>
      <c r="M8" s="58" t="str">
        <f>IF(OR(J8="",L8=""),"",
IF(AND(J8="Very High",L8="Excellent"),"Low",
IF(AND(J8="Very High",L8="Good"),"Medium",
IF(AND(J8="Very High",L8="Fair"),"High",
IF(AND(J8="Very High",L8="Poor"),"Very High",
IF(AND(J8="Very High",L8="Unsatisfactory"),"Very High",
IF(AND(J8="High",L8="Excellent"),"Very Low",
IF(AND(J8="High",L8="Good"),"Low",
IF(AND(J8="High",L8="Fair"),"Medium",
IF(AND(J8="High",L8="Poor"),"High",
IF(AND(J8="High",L8="Unsatisfactory"),"High",
IF(AND(J8="Medium",L8="Excellent"),"Very Low",
IF(AND(J8="Medium",L8="Good"),"Very Low",
IF(AND(J8="Medium",L8="Fair"),"Low",
IF(AND(J8="Medium",L8="Poor"),"Medium",
IF(AND(J8="Medium",L8="Unsatisfactory"),"Medium",
IF(AND(J8="Low",L8="Excellent"),"Very Low",
IF(AND(J8="Low",L8="Good"),"Very Low",
IF(AND(J8="Low",L8="Fair"),"Very Low",
IF(AND(J8="Low",L8="Poor"),"Low",
IF(AND(J8="Low",L8="Unsatisfactory"),"Low",
IF(AND(J8="Very Low",L8="Excellent"),"Very Low",
IF(AND(J8="Very Low",L8="Good"),"Very Low",
IF(AND(J8="Very Low",L8="Fair"),"Very Low",
IF(AND(J8="Very Low",L8="Poor"),"Very Low",
IF(AND(J8="Very Low",L8="Unsatisfactory"),"Very Low",""))))))))))))))))))))))))))</f>
        <v>Low</v>
      </c>
      <c r="N8" s="58"/>
      <c r="O8" s="63"/>
      <c r="P8" s="63"/>
      <c r="Q8" s="64"/>
      <c r="R8" s="65"/>
      <c r="S8" s="154" t="str">
        <f t="shared" ref="S8:S79" si="0">IF(OR(L8="",R8=""),"",IF(AND(L8="Very High",R8="Excellent"),"Low",IF(AND(L8="Very High",R8="Good"),"Medium",IF(AND(L8="Very High",R8="Fair"),"High",IF(AND(L8="Very High",R8="Poor"),"Very High",IF(AND(L8="Very High",R8="Unsatisfactory"),"Very High",IF(AND(L8="High",R8="Excellent"),"Low",IF(AND(L8="High",R8="Good"),"Low",IF(AND(L8="High",R8="Fair"),"Medium",IF(AND(L8="High",R8="Poor"),"High",IF(AND(L8="High",R8="Unsatisfactory"),"High",IF(AND(L8="Medium",R8="Excellent"),"Low",IF(AND(L8="Medium",R8="Good"),"Low",IF(AND(L8="Medium",R8="Fair"),"Low",IF(AND(L8="Medium",R8="Poor"),"Medium",IF(AND(L8="Medium",R8="Unsatisfactory"),"Medium",IF(AND(L8="Low",R8="Excellent"),"Very Low",IF(AND(L8="Low",R8="Good"),"Low",IF(AND(L8="Low",R8="Fair"),"Low",IF(AND(L8="Low",R8="Poor"),"Low",IF(AND(L8="Low",R8="Unsatisfactory"),"Low",IF(AND(L8="Very Low",R8="Excellent"),"Very Low",IF(AND(L8="Very Low",R8="Good"),"Very Low",IF(AND(L8="Very Low",R8="Fair"),"Very Low",IF(AND(L8="Very Low",R8="Poor"),"Very Low",IF(AND(L8="Very Low",R8="Unsatisfactory"),"Very Low","Low"))))))))))))))))))))))))))</f>
        <v/>
      </c>
      <c r="T8" s="142" t="s">
        <v>86</v>
      </c>
      <c r="V8" s="149"/>
    </row>
    <row r="9" spans="1:22" s="40" customFormat="1" ht="96" customHeight="1">
      <c r="A9" s="255" t="s">
        <v>87</v>
      </c>
      <c r="B9" s="256" t="s">
        <v>88</v>
      </c>
      <c r="C9" s="257" t="s">
        <v>89</v>
      </c>
      <c r="D9" s="85" t="s">
        <v>1395</v>
      </c>
      <c r="E9" s="48" t="s">
        <v>90</v>
      </c>
      <c r="F9" s="47" t="s">
        <v>83</v>
      </c>
      <c r="G9" s="47" t="s">
        <v>161</v>
      </c>
      <c r="H9" s="58">
        <f>IF(F9='Risk Methedology Matrix'!B$26,5,IF(F9='Risk Methedology Matrix'!B$27,4,IF(F9='Risk Methedology Matrix'!B$28,3,IF(F9='Risk Methedology Matrix'!B$29,2,IF(F9='Risk Methedology Matrix'!B$30,1,0)))))</f>
        <v>4</v>
      </c>
      <c r="I9" s="58">
        <f>IF(G9='Risk Methedology Matrix'!G$25,5,IF(G9='Risk Methedology Matrix'!F$25,4,IF(G9='Risk Methedology Matrix'!E$25,3,IF(G9='Risk Methedology Matrix'!D$25,2,IF(G9='Risk Methedology Matrix'!C$25,1,0)))))</f>
        <v>2</v>
      </c>
      <c r="J9" s="58" t="str">
        <f t="shared" ref="J9:J23" si="1">IF(OR(F9="",G9=""),"",IF(H9*I9&gt;=20,"Very High",IF(AND(H9*I9&lt;20,H9*I9&gt;=11),"High",IF(AND(H9*I9&lt;11,H9*I9&gt;=6),"Medium",IF(AND(H9*I9&lt;6,H9*I9&gt;=3),"Low",IF(AND(H9*I9&lt;3,H9*I9&gt;=1),"Very Low",""))))))</f>
        <v>Medium</v>
      </c>
      <c r="K9" s="59" t="s">
        <v>1853</v>
      </c>
      <c r="L9" s="47" t="s">
        <v>85</v>
      </c>
      <c r="M9" s="58" t="str">
        <f>IF(OR(J9="",L9=""),"",
IF(AND(J9="Very High",L9="Excellent"),"Low",
IF(AND(J9="Very High",L9="Good"),"Medium",
IF(AND(J9="Very High",L9="Fair"),"High",
IF(AND(J9="Very High",L9="Poor"),"Very High",
IF(AND(J9="Very High",L9="Unsatisfactory"),"Very High",
IF(AND(J9="High",L9="Excellent"),"Very Low",
IF(AND(J9="High",L9="Good"),"Low",
IF(AND(J9="High",L9="Fair"),"Medium",
IF(AND(J9="High",L9="Poor"),"High",
IF(AND(J9="High",L9="Unsatisfactory"),"High",
IF(AND(J9="Medium",L9="Excellent"),"Very Low",
IF(AND(J9="Medium",L9="Good"),"Very Low",
IF(AND(J9="Medium",L9="Fair"),"Low",
IF(AND(J9="Medium",L9="Poor"),"Medium",
IF(AND(J9="Medium",L9="Unsatisfactory"),"Medium",
IF(AND(J9="Low",L9="Excellent"),"Very Low",
IF(AND(J9="Low",L9="Good"),"Very Low",
IF(AND(J9="Low",L9="Fair"),"Very Low",
IF(AND(J9="Low",L9="Poor"),"Low",
IF(AND(J9="Low",L9="Unsatisfactory"),"Low",
IF(AND(J9="Very Low",L9="Excellent"),"Very Low",
IF(AND(J9="Very Low",L9="Good"),"Very Low",
IF(AND(J9="Very Low",L9="Fair"),"Very Low",
IF(AND(J9="Very Low",L9="Poor"),"Very Low",
IF(AND(J9="Very Low",L9="Unsatisfactory"),"Very Low",""))))))))))))))))))))))))))</f>
        <v>Low</v>
      </c>
      <c r="N9" s="58"/>
      <c r="O9" s="63"/>
      <c r="P9" s="63"/>
      <c r="Q9" s="64"/>
      <c r="R9" s="65"/>
      <c r="S9" s="154" t="str">
        <f t="shared" si="0"/>
        <v/>
      </c>
      <c r="T9" s="143" t="s">
        <v>94</v>
      </c>
      <c r="V9" s="149"/>
    </row>
    <row r="10" spans="1:22" s="40" customFormat="1" ht="88.5" customHeight="1">
      <c r="A10" s="255" t="s">
        <v>95</v>
      </c>
      <c r="B10" s="256" t="s">
        <v>88</v>
      </c>
      <c r="C10" s="257" t="s">
        <v>96</v>
      </c>
      <c r="D10" s="85" t="s">
        <v>1395</v>
      </c>
      <c r="E10" s="48" t="s">
        <v>97</v>
      </c>
      <c r="F10" s="47" t="s">
        <v>83</v>
      </c>
      <c r="G10" s="47" t="s">
        <v>92</v>
      </c>
      <c r="H10" s="58">
        <f>IF(F10='Risk Methedology Matrix'!B$26,5,IF(F10='Risk Methedology Matrix'!B$27,4,IF(F10='Risk Methedology Matrix'!B$28,3,IF(F10='Risk Methedology Matrix'!B$29,2,IF(F10='Risk Methedology Matrix'!B$30,1,0)))))</f>
        <v>4</v>
      </c>
      <c r="I10" s="58">
        <f>IF(G10='Risk Methedology Matrix'!G$25,5,IF(G10='Risk Methedology Matrix'!F$25,4,IF(G10='Risk Methedology Matrix'!E$25,3,IF(G10='Risk Methedology Matrix'!D$25,2,IF(G10='Risk Methedology Matrix'!C$25,1,0)))))</f>
        <v>5</v>
      </c>
      <c r="J10" s="58" t="str">
        <f t="shared" si="1"/>
        <v>Very High</v>
      </c>
      <c r="K10" s="59" t="s">
        <v>1760</v>
      </c>
      <c r="L10" s="47" t="s">
        <v>169</v>
      </c>
      <c r="M10" s="58" t="str">
        <f t="shared" ref="M10:M82" si="2">IF(OR(J10="",L10=""),"",
IF(AND(J10="Very High",L10="Excellent"),"Low",
IF(AND(J10="Very High",L10="Good"),"Medium",
IF(AND(J10="Very High",L10="Fair"),"High",
IF(AND(J10="Very High",L10="Poor"),"Very High",
IF(AND(J10="Very High",L10="Unsatisfactory"),"Very High",
IF(AND(J10="High",L10="Excellent"),"Very Low",
IF(AND(J10="High",L10="Good"),"Low",
IF(AND(J10="High",L10="Fair"),"Medium",
IF(AND(J10="High",L10="Poor"),"High",
IF(AND(J10="High",L10="Unsatisfactory"),"High",
IF(AND(J10="Medium",L10="Excellent"),"Very Low",
IF(AND(J10="Medium",L10="Good"),"Very Low",
IF(AND(J10="Medium",L10="Fair"),"Low",
IF(AND(J10="Medium",L10="Poor"),"Medium",
IF(AND(J10="Medium",L10="Unsatisfactory"),"Medium",
IF(AND(J10="Low",L10="Excellent"),"Very Low",
IF(AND(J10="Low",L10="Good"),"Very Low",
IF(AND(J10="Low",L10="Fair"),"Very Low",
IF(AND(J10="Low",L10="Poor"),"Low",
IF(AND(J10="Low",L10="Unsatisfactory"),"Low",
IF(AND(J10="Very Low",L10="Excellent"),"Very Low",
IF(AND(J10="Very Low",L10="Good"),"Very Low",
IF(AND(J10="Very Low",L10="Fair"),"Very Low",
IF(AND(J10="Very Low",L10="Poor"),"Very Low",
IF(AND(J10="Very Low",L10="Unsatisfactory"),"Very Low",""))))))))))))))))))))))))))</f>
        <v>Medium</v>
      </c>
      <c r="N10" s="58"/>
      <c r="O10" s="176"/>
      <c r="P10" s="63"/>
      <c r="Q10" s="64"/>
      <c r="R10" s="65"/>
      <c r="S10" s="154" t="str">
        <f t="shared" si="0"/>
        <v/>
      </c>
      <c r="T10" s="144" t="s">
        <v>99</v>
      </c>
      <c r="V10" s="149"/>
    </row>
    <row r="11" spans="1:22" s="40" customFormat="1" ht="240">
      <c r="A11" s="255" t="s">
        <v>100</v>
      </c>
      <c r="B11" s="256" t="s">
        <v>79</v>
      </c>
      <c r="C11" s="257" t="s">
        <v>101</v>
      </c>
      <c r="D11" s="85" t="s">
        <v>1395</v>
      </c>
      <c r="E11" s="48" t="s">
        <v>102</v>
      </c>
      <c r="F11" s="47" t="s">
        <v>83</v>
      </c>
      <c r="G11" s="47" t="s">
        <v>104</v>
      </c>
      <c r="H11" s="58">
        <f>IF(F11='Risk Methedology Matrix'!B$26,5,IF(F11='Risk Methedology Matrix'!B$27,4,IF(F11='Risk Methedology Matrix'!B$28,3,IF(F11='Risk Methedology Matrix'!B$29,2,IF(F11='Risk Methedology Matrix'!B$30,1,0)))))</f>
        <v>4</v>
      </c>
      <c r="I11" s="58">
        <f>IF(G11='Risk Methedology Matrix'!G$25,5,IF(G11='Risk Methedology Matrix'!F$25,4,IF(G11='Risk Methedology Matrix'!E$25,3,IF(G11='Risk Methedology Matrix'!D$25,2,IF(G11='Risk Methedology Matrix'!C$25,1,0)))))</f>
        <v>3</v>
      </c>
      <c r="J11" s="58" t="str">
        <f t="shared" si="1"/>
        <v>High</v>
      </c>
      <c r="K11" s="59" t="s">
        <v>1761</v>
      </c>
      <c r="L11" s="47" t="s">
        <v>85</v>
      </c>
      <c r="M11" s="58" t="str">
        <f t="shared" si="2"/>
        <v>Medium</v>
      </c>
      <c r="N11" s="58"/>
      <c r="O11" s="63"/>
      <c r="P11" s="63"/>
      <c r="Q11" s="64"/>
      <c r="R11" s="65"/>
      <c r="S11" s="154" t="str">
        <f t="shared" si="0"/>
        <v/>
      </c>
      <c r="T11" s="143" t="s">
        <v>105</v>
      </c>
      <c r="V11" s="149"/>
    </row>
    <row r="12" spans="1:22" s="41" customFormat="1" ht="84">
      <c r="A12" s="258" t="s">
        <v>106</v>
      </c>
      <c r="B12" s="259" t="s">
        <v>79</v>
      </c>
      <c r="C12" s="260" t="s">
        <v>107</v>
      </c>
      <c r="D12" s="85" t="s">
        <v>1395</v>
      </c>
      <c r="E12" s="51" t="s">
        <v>108</v>
      </c>
      <c r="F12" s="50" t="s">
        <v>109</v>
      </c>
      <c r="G12" s="50" t="s">
        <v>84</v>
      </c>
      <c r="H12" s="60">
        <f>IF(F12='Risk Methedology Matrix'!B$26,5,IF(F12='Risk Methedology Matrix'!B$27,4,IF(F12='Risk Methedology Matrix'!B$28,3,IF(F12='Risk Methedology Matrix'!B$29,2,IF(F12='Risk Methedology Matrix'!B$30,1,0)))))</f>
        <v>5</v>
      </c>
      <c r="I12" s="60">
        <f>IF(G12='Risk Methedology Matrix'!G$25,5,IF(G12='Risk Methedology Matrix'!F$25,4,IF(G12='Risk Methedology Matrix'!E$25,3,IF(G12='Risk Methedology Matrix'!D$25,2,IF(G12='Risk Methedology Matrix'!C$25,1,0)))))</f>
        <v>4</v>
      </c>
      <c r="J12" s="60" t="str">
        <f t="shared" si="1"/>
        <v>Very High</v>
      </c>
      <c r="K12" s="61" t="s">
        <v>1854</v>
      </c>
      <c r="L12" s="50" t="s">
        <v>169</v>
      </c>
      <c r="M12" s="58" t="str">
        <f t="shared" si="2"/>
        <v>Medium</v>
      </c>
      <c r="N12" s="60"/>
      <c r="O12" s="177"/>
      <c r="P12" s="177"/>
      <c r="Q12" s="179"/>
      <c r="R12" s="65"/>
      <c r="S12" s="154" t="str">
        <f t="shared" si="0"/>
        <v/>
      </c>
      <c r="T12" s="145" t="s">
        <v>110</v>
      </c>
      <c r="V12" s="150"/>
    </row>
    <row r="13" spans="1:22" s="40" customFormat="1" ht="228">
      <c r="A13" s="255" t="s">
        <v>111</v>
      </c>
      <c r="B13" s="256" t="s">
        <v>79</v>
      </c>
      <c r="C13" s="257" t="s">
        <v>112</v>
      </c>
      <c r="D13" s="85" t="s">
        <v>1395</v>
      </c>
      <c r="E13" s="48" t="s">
        <v>113</v>
      </c>
      <c r="F13" s="47" t="s">
        <v>114</v>
      </c>
      <c r="G13" s="47" t="s">
        <v>92</v>
      </c>
      <c r="H13" s="58">
        <f>IF(F13='Risk Methedology Matrix'!B$26,5,IF(F13='Risk Methedology Matrix'!B$27,4,IF(F13='Risk Methedology Matrix'!B$28,3,IF(F13='Risk Methedology Matrix'!B$29,2,IF(F13='Risk Methedology Matrix'!B$30,1,0)))))</f>
        <v>3</v>
      </c>
      <c r="I13" s="58">
        <f>IF(G13='Risk Methedology Matrix'!G$25,5,IF(G13='Risk Methedology Matrix'!F$25,4,IF(G13='Risk Methedology Matrix'!E$25,3,IF(G13='Risk Methedology Matrix'!D$25,2,IF(G13='Risk Methedology Matrix'!C$25,1,0)))))</f>
        <v>5</v>
      </c>
      <c r="J13" s="58" t="str">
        <f t="shared" si="1"/>
        <v>High</v>
      </c>
      <c r="K13" s="59" t="s">
        <v>1762</v>
      </c>
      <c r="L13" s="47" t="s">
        <v>85</v>
      </c>
      <c r="M13" s="58" t="str">
        <f t="shared" si="2"/>
        <v>Medium</v>
      </c>
      <c r="N13" s="58"/>
      <c r="O13" s="63"/>
      <c r="P13" s="63"/>
      <c r="Q13" s="179"/>
      <c r="R13" s="65"/>
      <c r="S13" s="154" t="str">
        <f t="shared" si="0"/>
        <v/>
      </c>
      <c r="T13" s="142" t="s">
        <v>115</v>
      </c>
      <c r="V13" s="149"/>
    </row>
    <row r="14" spans="1:22" s="41" customFormat="1" ht="204">
      <c r="A14" s="258" t="s">
        <v>116</v>
      </c>
      <c r="B14" s="261" t="s">
        <v>117</v>
      </c>
      <c r="C14" s="262" t="s">
        <v>118</v>
      </c>
      <c r="D14" s="85" t="s">
        <v>1395</v>
      </c>
      <c r="E14" s="53" t="s">
        <v>119</v>
      </c>
      <c r="F14" s="52" t="s">
        <v>114</v>
      </c>
      <c r="G14" s="50" t="s">
        <v>104</v>
      </c>
      <c r="H14" s="60">
        <f>IF(F14='Risk Methedology Matrix'!B$26,5,IF(F14='Risk Methedology Matrix'!B$27,4,IF(F14='Risk Methedology Matrix'!B$28,3,IF(F14='Risk Methedology Matrix'!B$29,2,IF(F14='Risk Methedology Matrix'!B$30,1,0)))))</f>
        <v>3</v>
      </c>
      <c r="I14" s="60">
        <f>IF(G14='Risk Methedology Matrix'!G$25,5,IF(G14='Risk Methedology Matrix'!F$25,4,IF(G14='Risk Methedology Matrix'!E$25,3,IF(G14='Risk Methedology Matrix'!D$25,2,IF(G14='Risk Methedology Matrix'!C$25,1,0)))))</f>
        <v>3</v>
      </c>
      <c r="J14" s="60" t="s">
        <v>120</v>
      </c>
      <c r="K14" s="61" t="s">
        <v>121</v>
      </c>
      <c r="L14" s="50" t="s">
        <v>93</v>
      </c>
      <c r="M14" s="58" t="str">
        <f t="shared" si="2"/>
        <v>High</v>
      </c>
      <c r="N14" s="60"/>
      <c r="O14" s="178" t="s">
        <v>1324</v>
      </c>
      <c r="P14" s="63" t="s">
        <v>1325</v>
      </c>
      <c r="Q14" s="309" t="s">
        <v>1763</v>
      </c>
      <c r="R14" s="65"/>
      <c r="S14" s="154" t="str">
        <f t="shared" si="0"/>
        <v/>
      </c>
      <c r="T14" s="146" t="s">
        <v>122</v>
      </c>
      <c r="V14" s="150"/>
    </row>
    <row r="15" spans="1:22" s="40" customFormat="1" ht="144">
      <c r="A15" s="255" t="s">
        <v>123</v>
      </c>
      <c r="B15" s="256" t="s">
        <v>88</v>
      </c>
      <c r="C15" s="263" t="s">
        <v>124</v>
      </c>
      <c r="D15" s="85" t="s">
        <v>1395</v>
      </c>
      <c r="E15" s="54" t="s">
        <v>125</v>
      </c>
      <c r="F15" s="47" t="s">
        <v>126</v>
      </c>
      <c r="G15" s="47" t="s">
        <v>104</v>
      </c>
      <c r="H15" s="58">
        <f>IF(F15='Risk Methedology Matrix'!B$26,5,IF(F15='Risk Methedology Matrix'!B$27,4,IF(F15='Risk Methedology Matrix'!B$28,3,IF(F15='Risk Methedology Matrix'!B$29,2,IF(F15='Risk Methedology Matrix'!B$30,1,0)))))</f>
        <v>2</v>
      </c>
      <c r="I15" s="58">
        <f>IF(G15='Risk Methedology Matrix'!G$25,5,IF(G15='Risk Methedology Matrix'!F$25,4,IF(G15='Risk Methedology Matrix'!E$25,3,IF(G15='Risk Methedology Matrix'!D$25,2,IF(G15='Risk Methedology Matrix'!C$25,1,0)))))</f>
        <v>3</v>
      </c>
      <c r="J15" s="58" t="s">
        <v>120</v>
      </c>
      <c r="K15" s="59" t="s">
        <v>1764</v>
      </c>
      <c r="L15" s="47" t="s">
        <v>169</v>
      </c>
      <c r="M15" s="58" t="str">
        <f t="shared" si="2"/>
        <v>Low</v>
      </c>
      <c r="N15" s="58"/>
      <c r="O15" s="178"/>
      <c r="P15" s="63"/>
      <c r="Q15" s="179"/>
      <c r="R15" s="65"/>
      <c r="S15" s="154" t="str">
        <f t="shared" si="0"/>
        <v/>
      </c>
      <c r="T15" s="147" t="s">
        <v>122</v>
      </c>
      <c r="V15" s="149"/>
    </row>
    <row r="16" spans="1:22" s="40" customFormat="1" ht="107.5" customHeight="1">
      <c r="A16" s="255" t="s">
        <v>127</v>
      </c>
      <c r="B16" s="256" t="s">
        <v>88</v>
      </c>
      <c r="C16" s="263" t="s">
        <v>128</v>
      </c>
      <c r="D16" s="85" t="s">
        <v>1395</v>
      </c>
      <c r="E16" s="310" t="s">
        <v>129</v>
      </c>
      <c r="F16" s="47" t="s">
        <v>83</v>
      </c>
      <c r="G16" s="47" t="s">
        <v>92</v>
      </c>
      <c r="H16" s="58">
        <f>IF(F16='Risk Methedology Matrix'!B$26,5,IF(F16='Risk Methedology Matrix'!B$27,4,IF(F16='Risk Methedology Matrix'!B$28,3,IF(F16='Risk Methedology Matrix'!B$29,2,IF(F16='Risk Methedology Matrix'!B$30,1,0)))))</f>
        <v>4</v>
      </c>
      <c r="I16" s="58">
        <f>IF(G16='Risk Methedology Matrix'!G$25,5,IF(G16='Risk Methedology Matrix'!F$25,4,IF(G16='Risk Methedology Matrix'!E$25,3,IF(G16='Risk Methedology Matrix'!D$25,2,IF(G16='Risk Methedology Matrix'!C$25,1,0)))))</f>
        <v>5</v>
      </c>
      <c r="J16" s="58" t="str">
        <f t="shared" si="1"/>
        <v>Very High</v>
      </c>
      <c r="K16" s="59" t="s">
        <v>1765</v>
      </c>
      <c r="L16" s="47" t="s">
        <v>169</v>
      </c>
      <c r="M16" s="58" t="str">
        <f t="shared" si="2"/>
        <v>Medium</v>
      </c>
      <c r="N16" s="58"/>
      <c r="O16" s="178"/>
      <c r="P16" s="178"/>
      <c r="Q16" s="179"/>
      <c r="R16" s="65"/>
      <c r="S16" s="154" t="str">
        <f t="shared" si="0"/>
        <v/>
      </c>
      <c r="T16" s="147" t="s">
        <v>122</v>
      </c>
      <c r="V16" s="149"/>
    </row>
    <row r="17" spans="1:22" s="40" customFormat="1" ht="60" customHeight="1">
      <c r="A17" s="255" t="s">
        <v>130</v>
      </c>
      <c r="B17" s="264" t="s">
        <v>88</v>
      </c>
      <c r="C17" s="265" t="s">
        <v>131</v>
      </c>
      <c r="D17" s="85" t="s">
        <v>1395</v>
      </c>
      <c r="E17" s="56" t="s">
        <v>132</v>
      </c>
      <c r="F17" s="55" t="s">
        <v>126</v>
      </c>
      <c r="G17" s="47" t="s">
        <v>104</v>
      </c>
      <c r="H17" s="58">
        <f>IF(F17='Risk Methedology Matrix'!B$26,5,IF(F17='Risk Methedology Matrix'!B$27,4,IF(F17='Risk Methedology Matrix'!B$28,3,IF(F17='Risk Methedology Matrix'!B$29,2,IF(F17='Risk Methedology Matrix'!B$30,1,0)))))</f>
        <v>2</v>
      </c>
      <c r="I17" s="58">
        <f>IF(G17='Risk Methedology Matrix'!G$25,5,IF(G17='Risk Methedology Matrix'!F$25,4,IF(G17='Risk Methedology Matrix'!E$25,3,IF(G17='Risk Methedology Matrix'!D$25,2,IF(G17='Risk Methedology Matrix'!C$25,1,0)))))</f>
        <v>3</v>
      </c>
      <c r="J17" s="58" t="str">
        <f t="shared" si="1"/>
        <v>Medium</v>
      </c>
      <c r="K17" s="59" t="s">
        <v>133</v>
      </c>
      <c r="L17" s="47" t="s">
        <v>85</v>
      </c>
      <c r="M17" s="58" t="str">
        <f t="shared" si="2"/>
        <v>Low</v>
      </c>
      <c r="N17" s="58"/>
      <c r="O17" s="63"/>
      <c r="P17" s="63"/>
      <c r="Q17" s="179"/>
      <c r="R17" s="65"/>
      <c r="S17" s="154" t="str">
        <f t="shared" si="0"/>
        <v/>
      </c>
      <c r="T17" s="143" t="s">
        <v>134</v>
      </c>
      <c r="V17" s="149"/>
    </row>
    <row r="18" spans="1:22" s="41" customFormat="1" ht="168">
      <c r="A18" s="258" t="s">
        <v>135</v>
      </c>
      <c r="B18" s="266" t="s">
        <v>88</v>
      </c>
      <c r="C18" s="267" t="s">
        <v>136</v>
      </c>
      <c r="D18" s="85" t="s">
        <v>1395</v>
      </c>
      <c r="E18" s="51" t="s">
        <v>137</v>
      </c>
      <c r="F18" s="50" t="s">
        <v>83</v>
      </c>
      <c r="G18" s="50" t="s">
        <v>161</v>
      </c>
      <c r="H18" s="60">
        <f>IF(F18='Risk Methedology Matrix'!B$26,5,IF(F18='Risk Methedology Matrix'!B$27,4,IF(F18='Risk Methedology Matrix'!B$28,3,IF(F18='Risk Methedology Matrix'!B$29,2,IF(F18='Risk Methedology Matrix'!B$30,1,0)))))</f>
        <v>4</v>
      </c>
      <c r="I18" s="60">
        <f>IF(G18='Risk Methedology Matrix'!G$25,5,IF(G18='Risk Methedology Matrix'!F$25,4,IF(G18='Risk Methedology Matrix'!E$25,3,IF(G18='Risk Methedology Matrix'!D$25,2,IF(G18='Risk Methedology Matrix'!C$25,1,0)))))</f>
        <v>2</v>
      </c>
      <c r="J18" s="60" t="str">
        <f t="shared" si="1"/>
        <v>Medium</v>
      </c>
      <c r="K18" s="62" t="s">
        <v>1766</v>
      </c>
      <c r="L18" s="50" t="s">
        <v>169</v>
      </c>
      <c r="M18" s="58" t="str">
        <f t="shared" si="2"/>
        <v>Very Low</v>
      </c>
      <c r="N18" s="64"/>
      <c r="O18" s="63"/>
      <c r="P18" s="63"/>
      <c r="Q18" s="64"/>
      <c r="R18" s="65"/>
      <c r="S18" s="154" t="str">
        <f t="shared" si="0"/>
        <v/>
      </c>
      <c r="T18" s="148" t="s">
        <v>138</v>
      </c>
      <c r="V18" s="150"/>
    </row>
    <row r="19" spans="1:22" s="41" customFormat="1" ht="96">
      <c r="A19" s="258" t="s">
        <v>139</v>
      </c>
      <c r="B19" s="266" t="s">
        <v>88</v>
      </c>
      <c r="C19" s="268" t="s">
        <v>140</v>
      </c>
      <c r="D19" s="85" t="s">
        <v>1395</v>
      </c>
      <c r="E19" s="51" t="s">
        <v>141</v>
      </c>
      <c r="F19" s="50" t="s">
        <v>83</v>
      </c>
      <c r="G19" s="50" t="s">
        <v>161</v>
      </c>
      <c r="H19" s="60">
        <f>IF(F19='Risk Methedology Matrix'!B$26,5,IF(F19='Risk Methedology Matrix'!B$27,4,IF(F19='Risk Methedology Matrix'!B$28,3,IF(F19='Risk Methedology Matrix'!B$29,2,IF(F19='Risk Methedology Matrix'!B$30,1,0)))))</f>
        <v>4</v>
      </c>
      <c r="I19" s="60">
        <f>IF(G19='Risk Methedology Matrix'!G$25,5,IF(G19='Risk Methedology Matrix'!F$25,4,IF(G19='Risk Methedology Matrix'!E$25,3,IF(G19='Risk Methedology Matrix'!D$25,2,IF(G19='Risk Methedology Matrix'!C$25,1,0)))))</f>
        <v>2</v>
      </c>
      <c r="J19" s="60" t="str">
        <f t="shared" si="1"/>
        <v>Medium</v>
      </c>
      <c r="K19" s="61" t="s">
        <v>142</v>
      </c>
      <c r="L19" s="50" t="s">
        <v>93</v>
      </c>
      <c r="M19" s="58" t="str">
        <f t="shared" si="2"/>
        <v>Medium</v>
      </c>
      <c r="N19" s="60"/>
      <c r="O19" s="63" t="s">
        <v>1767</v>
      </c>
      <c r="P19" s="63" t="s">
        <v>1768</v>
      </c>
      <c r="Q19" s="64" t="s">
        <v>1763</v>
      </c>
      <c r="R19" s="65"/>
      <c r="S19" s="154" t="str">
        <f t="shared" si="0"/>
        <v/>
      </c>
      <c r="T19" s="148" t="s">
        <v>143</v>
      </c>
      <c r="V19" s="150"/>
    </row>
    <row r="20" spans="1:22" ht="108">
      <c r="A20" s="255" t="s">
        <v>144</v>
      </c>
      <c r="B20" s="269" t="s">
        <v>88</v>
      </c>
      <c r="C20" s="270" t="s">
        <v>145</v>
      </c>
      <c r="D20" s="85" t="s">
        <v>1395</v>
      </c>
      <c r="E20" s="48" t="s">
        <v>146</v>
      </c>
      <c r="F20" s="47" t="s">
        <v>114</v>
      </c>
      <c r="G20" s="47" t="s">
        <v>161</v>
      </c>
      <c r="H20" s="58">
        <f>IF(F20='Risk Methedology Matrix'!B$26,5,IF(F20='Risk Methedology Matrix'!B$27,4,IF(F20='Risk Methedology Matrix'!B$28,3,IF(F20='Risk Methedology Matrix'!B$29,2,IF(F20='Risk Methedology Matrix'!B$30,1,0)))))</f>
        <v>3</v>
      </c>
      <c r="I20" s="58">
        <f>IF(G20='Risk Methedology Matrix'!G$25,5,IF(G20='Risk Methedology Matrix'!F$25,4,IF(G20='Risk Methedology Matrix'!E$25,3,IF(G20='Risk Methedology Matrix'!D$25,2,IF(G20='Risk Methedology Matrix'!C$25,1,0)))))</f>
        <v>2</v>
      </c>
      <c r="J20" s="58" t="str">
        <f t="shared" si="1"/>
        <v>Medium</v>
      </c>
      <c r="K20" s="59" t="s">
        <v>147</v>
      </c>
      <c r="L20" s="47" t="s">
        <v>169</v>
      </c>
      <c r="M20" s="58" t="str">
        <f t="shared" si="2"/>
        <v>Very Low</v>
      </c>
      <c r="N20" s="58"/>
      <c r="O20" s="63"/>
      <c r="P20" s="63"/>
      <c r="Q20" s="179"/>
      <c r="R20" s="65"/>
      <c r="S20" s="154" t="str">
        <f t="shared" si="0"/>
        <v/>
      </c>
      <c r="T20" s="143" t="s">
        <v>148</v>
      </c>
      <c r="V20" s="26"/>
    </row>
    <row r="21" spans="1:22" ht="132">
      <c r="A21" s="255" t="s">
        <v>149</v>
      </c>
      <c r="B21" s="269" t="s">
        <v>117</v>
      </c>
      <c r="C21" s="271" t="s">
        <v>151</v>
      </c>
      <c r="D21" s="85" t="s">
        <v>1395</v>
      </c>
      <c r="E21" s="48" t="s">
        <v>152</v>
      </c>
      <c r="F21" s="47" t="s">
        <v>83</v>
      </c>
      <c r="G21" s="47" t="s">
        <v>92</v>
      </c>
      <c r="H21" s="58">
        <f>IF(F21='Risk Methedology Matrix'!B$26,5,IF(F21='Risk Methedology Matrix'!B$27,4,IF(F21='Risk Methedology Matrix'!B$28,3,IF(F21='Risk Methedology Matrix'!B$29,2,IF(F21='Risk Methedology Matrix'!B$30,1,0)))))</f>
        <v>4</v>
      </c>
      <c r="I21" s="58">
        <f>IF(G21='Risk Methedology Matrix'!G$25,5,IF(G21='Risk Methedology Matrix'!F$25,4,IF(G21='Risk Methedology Matrix'!E$25,3,IF(G21='Risk Methedology Matrix'!D$25,2,IF(G21='Risk Methedology Matrix'!C$25,1,0)))))</f>
        <v>5</v>
      </c>
      <c r="J21" s="58" t="str">
        <f t="shared" si="1"/>
        <v>Very High</v>
      </c>
      <c r="K21" s="59" t="s">
        <v>1769</v>
      </c>
      <c r="L21" s="47" t="s">
        <v>169</v>
      </c>
      <c r="M21" s="58" t="str">
        <f t="shared" si="2"/>
        <v>Medium</v>
      </c>
      <c r="N21" s="58"/>
      <c r="O21" s="63"/>
      <c r="P21" s="63"/>
      <c r="Q21" s="179"/>
      <c r="R21" s="65"/>
      <c r="S21" s="154" t="str">
        <f t="shared" si="0"/>
        <v/>
      </c>
      <c r="T21" s="142" t="s">
        <v>153</v>
      </c>
      <c r="V21" s="26"/>
    </row>
    <row r="22" spans="1:22" ht="132">
      <c r="A22" s="255" t="s">
        <v>150</v>
      </c>
      <c r="B22" s="256" t="s">
        <v>88</v>
      </c>
      <c r="C22" s="271" t="s">
        <v>155</v>
      </c>
      <c r="D22" s="85" t="s">
        <v>1395</v>
      </c>
      <c r="E22" s="48" t="s">
        <v>156</v>
      </c>
      <c r="F22" s="47" t="s">
        <v>109</v>
      </c>
      <c r="G22" s="47" t="s">
        <v>104</v>
      </c>
      <c r="H22" s="58">
        <f>IF(F22='Risk Methedology Matrix'!B$26,5,IF(F22='Risk Methedology Matrix'!B$27,4,IF(F22='Risk Methedology Matrix'!B$28,3,IF(F22='Risk Methedology Matrix'!B$29,2,IF(F22='Risk Methedology Matrix'!B$30,1,0)))))</f>
        <v>5</v>
      </c>
      <c r="I22" s="58">
        <f>IF(G22='Risk Methedology Matrix'!G$25,5,IF(G22='Risk Methedology Matrix'!F$25,4,IF(G22='Risk Methedology Matrix'!E$25,3,IF(G22='Risk Methedology Matrix'!D$25,2,IF(G22='Risk Methedology Matrix'!C$25,1,0)))))</f>
        <v>3</v>
      </c>
      <c r="J22" s="58" t="s">
        <v>157</v>
      </c>
      <c r="K22" s="59" t="s">
        <v>1770</v>
      </c>
      <c r="L22" s="47" t="s">
        <v>169</v>
      </c>
      <c r="M22" s="58" t="str">
        <f t="shared" si="2"/>
        <v>Medium</v>
      </c>
      <c r="N22" s="58"/>
      <c r="O22" s="63"/>
      <c r="P22" s="64"/>
      <c r="Q22" s="179"/>
      <c r="R22" s="65"/>
      <c r="S22" s="154" t="str">
        <f t="shared" si="0"/>
        <v/>
      </c>
      <c r="T22" s="142" t="s">
        <v>153</v>
      </c>
      <c r="V22" s="26"/>
    </row>
    <row r="23" spans="1:22" ht="48">
      <c r="A23" s="255" t="s">
        <v>154</v>
      </c>
      <c r="B23" s="269" t="s">
        <v>88</v>
      </c>
      <c r="C23" s="271" t="s">
        <v>1170</v>
      </c>
      <c r="D23" s="85" t="s">
        <v>1395</v>
      </c>
      <c r="E23" s="57" t="s">
        <v>1171</v>
      </c>
      <c r="F23" s="47" t="s">
        <v>114</v>
      </c>
      <c r="G23" s="47" t="s">
        <v>84</v>
      </c>
      <c r="H23" s="58">
        <f>IF(F23='Risk Methedology Matrix'!B$26,5,IF(F23='Risk Methedology Matrix'!B$27,4,IF(F23='Risk Methedology Matrix'!B$28,3,IF(F23='Risk Methedology Matrix'!B$29,2,IF(F23='Risk Methedology Matrix'!B$30,1,0)))))</f>
        <v>3</v>
      </c>
      <c r="I23" s="58">
        <f>IF(G23='Risk Methedology Matrix'!G$25,5,IF(G23='Risk Methedology Matrix'!F$25,4,IF(G23='Risk Methedology Matrix'!E$25,3,IF(G23='Risk Methedology Matrix'!D$25,2,IF(G23='Risk Methedology Matrix'!C$25,1,0)))))</f>
        <v>4</v>
      </c>
      <c r="J23" s="58" t="str">
        <f t="shared" si="1"/>
        <v>High</v>
      </c>
      <c r="K23" s="59" t="s">
        <v>1855</v>
      </c>
      <c r="L23" s="47" t="s">
        <v>85</v>
      </c>
      <c r="M23" s="58" t="str">
        <f t="shared" si="2"/>
        <v>Medium</v>
      </c>
      <c r="N23" s="58"/>
      <c r="O23" s="63"/>
      <c r="P23" s="63"/>
      <c r="Q23" s="179"/>
      <c r="R23" s="65"/>
      <c r="S23" s="154" t="str">
        <f t="shared" si="0"/>
        <v/>
      </c>
      <c r="T23" s="142" t="s">
        <v>153</v>
      </c>
      <c r="V23" s="26"/>
    </row>
    <row r="24" spans="1:22" ht="60">
      <c r="A24" s="332" t="s">
        <v>1856</v>
      </c>
      <c r="B24" s="362" t="s">
        <v>88</v>
      </c>
      <c r="C24" s="363" t="s">
        <v>1865</v>
      </c>
      <c r="D24" s="85" t="s">
        <v>1395</v>
      </c>
      <c r="E24" s="359" t="s">
        <v>1874</v>
      </c>
      <c r="F24" s="47" t="s">
        <v>83</v>
      </c>
      <c r="G24" s="47" t="s">
        <v>84</v>
      </c>
      <c r="H24" s="58">
        <f>IF(F24='Risk Methedology Matrix'!B$26,5,IF(F24='Risk Methedology Matrix'!B$27,4,IF(F24='Risk Methedology Matrix'!B$28,3,IF(F24='Risk Methedology Matrix'!B$29,2,IF(F24='Risk Methedology Matrix'!B$30,1,0)))))</f>
        <v>4</v>
      </c>
      <c r="I24" s="58">
        <f>IF(G24='Risk Methedology Matrix'!G$25,5,IF(G24='Risk Methedology Matrix'!F$25,4,IF(G24='Risk Methedology Matrix'!E$25,3,IF(G24='Risk Methedology Matrix'!D$25,2,IF(G24='Risk Methedology Matrix'!C$25,1,0)))))</f>
        <v>4</v>
      </c>
      <c r="J24" s="58" t="str">
        <f t="shared" ref="J24:J32" si="3">IF(OR(F24="",G24=""),"",IF(H24*I24&gt;=20,"Very High",IF(AND(H24*I24&lt;20,H24*I24&gt;=11),"High",IF(AND(H24*I24&lt;11,H24*I24&gt;=6),"Medium",IF(AND(H24*I24&lt;6,H24*I24&gt;=3),"Low",IF(AND(H24*I24&lt;3,H24*I24&gt;=1),"Very Low",""))))))</f>
        <v>High</v>
      </c>
      <c r="K24" s="360" t="s">
        <v>1883</v>
      </c>
      <c r="L24" s="47" t="s">
        <v>85</v>
      </c>
      <c r="M24" s="58" t="str">
        <f t="shared" si="2"/>
        <v>Medium</v>
      </c>
      <c r="N24" s="58"/>
      <c r="O24" s="63"/>
      <c r="P24" s="63"/>
      <c r="Q24" s="179"/>
      <c r="R24" s="65"/>
      <c r="S24" s="154"/>
      <c r="T24" s="361"/>
      <c r="V24" s="26"/>
    </row>
    <row r="25" spans="1:22" ht="84">
      <c r="A25" s="332" t="s">
        <v>1857</v>
      </c>
      <c r="B25" s="362" t="s">
        <v>88</v>
      </c>
      <c r="C25" s="363" t="s">
        <v>1866</v>
      </c>
      <c r="D25" s="85" t="s">
        <v>1395</v>
      </c>
      <c r="E25" s="359" t="s">
        <v>1875</v>
      </c>
      <c r="F25" s="47" t="s">
        <v>83</v>
      </c>
      <c r="G25" s="47" t="s">
        <v>84</v>
      </c>
      <c r="H25" s="58">
        <f>IF(F25='Risk Methedology Matrix'!B$26,5,IF(F25='Risk Methedology Matrix'!B$27,4,IF(F25='Risk Methedology Matrix'!B$28,3,IF(F25='Risk Methedology Matrix'!B$29,2,IF(F25='Risk Methedology Matrix'!B$30,1,0)))))</f>
        <v>4</v>
      </c>
      <c r="I25" s="58">
        <f>IF(G25='Risk Methedology Matrix'!G$25,5,IF(G25='Risk Methedology Matrix'!F$25,4,IF(G25='Risk Methedology Matrix'!E$25,3,IF(G25='Risk Methedology Matrix'!D$25,2,IF(G25='Risk Methedology Matrix'!C$25,1,0)))))</f>
        <v>4</v>
      </c>
      <c r="J25" s="58" t="str">
        <f t="shared" si="3"/>
        <v>High</v>
      </c>
      <c r="K25" s="360" t="s">
        <v>1884</v>
      </c>
      <c r="L25" s="47" t="s">
        <v>85</v>
      </c>
      <c r="M25" s="58" t="str">
        <f t="shared" si="2"/>
        <v>Medium</v>
      </c>
      <c r="N25" s="58"/>
      <c r="O25" s="63"/>
      <c r="P25" s="63"/>
      <c r="Q25" s="179"/>
      <c r="R25" s="65"/>
      <c r="S25" s="154"/>
      <c r="T25" s="361"/>
      <c r="V25" s="26"/>
    </row>
    <row r="26" spans="1:22" ht="60">
      <c r="A26" s="332" t="s">
        <v>1858</v>
      </c>
      <c r="B26" s="362" t="s">
        <v>88</v>
      </c>
      <c r="C26" s="363" t="s">
        <v>1867</v>
      </c>
      <c r="D26" s="85" t="s">
        <v>1395</v>
      </c>
      <c r="E26" s="359" t="s">
        <v>1876</v>
      </c>
      <c r="F26" s="47" t="s">
        <v>83</v>
      </c>
      <c r="G26" s="47" t="s">
        <v>84</v>
      </c>
      <c r="H26" s="58">
        <f>IF(F26='Risk Methedology Matrix'!B$26,5,IF(F26='Risk Methedology Matrix'!B$27,4,IF(F26='Risk Methedology Matrix'!B$28,3,IF(F26='Risk Methedology Matrix'!B$29,2,IF(F26='Risk Methedology Matrix'!B$30,1,0)))))</f>
        <v>4</v>
      </c>
      <c r="I26" s="58">
        <f>IF(G26='Risk Methedology Matrix'!G$25,5,IF(G26='Risk Methedology Matrix'!F$25,4,IF(G26='Risk Methedology Matrix'!E$25,3,IF(G26='Risk Methedology Matrix'!D$25,2,IF(G26='Risk Methedology Matrix'!C$25,1,0)))))</f>
        <v>4</v>
      </c>
      <c r="J26" s="58" t="str">
        <f t="shared" si="3"/>
        <v>High</v>
      </c>
      <c r="K26" s="360" t="s">
        <v>1885</v>
      </c>
      <c r="L26" s="47" t="s">
        <v>85</v>
      </c>
      <c r="M26" s="58" t="str">
        <f t="shared" si="2"/>
        <v>Medium</v>
      </c>
      <c r="N26" s="58"/>
      <c r="O26" s="63"/>
      <c r="P26" s="63"/>
      <c r="Q26" s="179"/>
      <c r="R26" s="65"/>
      <c r="S26" s="154"/>
      <c r="T26" s="361"/>
      <c r="V26" s="26"/>
    </row>
    <row r="27" spans="1:22" ht="60">
      <c r="A27" s="332" t="s">
        <v>1859</v>
      </c>
      <c r="B27" s="362" t="s">
        <v>88</v>
      </c>
      <c r="C27" s="363" t="s">
        <v>1868</v>
      </c>
      <c r="D27" s="85" t="s">
        <v>1395</v>
      </c>
      <c r="E27" s="359" t="s">
        <v>1877</v>
      </c>
      <c r="F27" s="47" t="s">
        <v>83</v>
      </c>
      <c r="G27" s="47" t="s">
        <v>84</v>
      </c>
      <c r="H27" s="58">
        <f>IF(F27='Risk Methedology Matrix'!B$26,5,IF(F27='Risk Methedology Matrix'!B$27,4,IF(F27='Risk Methedology Matrix'!B$28,3,IF(F27='Risk Methedology Matrix'!B$29,2,IF(F27='Risk Methedology Matrix'!B$30,1,0)))))</f>
        <v>4</v>
      </c>
      <c r="I27" s="58">
        <f>IF(G27='Risk Methedology Matrix'!G$25,5,IF(G27='Risk Methedology Matrix'!F$25,4,IF(G27='Risk Methedology Matrix'!E$25,3,IF(G27='Risk Methedology Matrix'!D$25,2,IF(G27='Risk Methedology Matrix'!C$25,1,0)))))</f>
        <v>4</v>
      </c>
      <c r="J27" s="58" t="str">
        <f t="shared" si="3"/>
        <v>High</v>
      </c>
      <c r="K27" s="360" t="s">
        <v>1886</v>
      </c>
      <c r="L27" s="47" t="s">
        <v>93</v>
      </c>
      <c r="M27" s="58" t="str">
        <f t="shared" si="2"/>
        <v>High</v>
      </c>
      <c r="N27" s="58"/>
      <c r="O27" s="63"/>
      <c r="P27" s="63"/>
      <c r="Q27" s="179"/>
      <c r="R27" s="65"/>
      <c r="S27" s="154"/>
      <c r="T27" s="361"/>
      <c r="V27" s="26"/>
    </row>
    <row r="28" spans="1:22" ht="48">
      <c r="A28" s="332" t="s">
        <v>1860</v>
      </c>
      <c r="B28" s="362" t="s">
        <v>88</v>
      </c>
      <c r="C28" s="363" t="s">
        <v>1869</v>
      </c>
      <c r="D28" s="85" t="s">
        <v>1395</v>
      </c>
      <c r="E28" s="359" t="s">
        <v>1878</v>
      </c>
      <c r="F28" s="47" t="s">
        <v>83</v>
      </c>
      <c r="G28" s="47" t="s">
        <v>84</v>
      </c>
      <c r="H28" s="58">
        <f>IF(F28='Risk Methedology Matrix'!B$26,5,IF(F28='Risk Methedology Matrix'!B$27,4,IF(F28='Risk Methedology Matrix'!B$28,3,IF(F28='Risk Methedology Matrix'!B$29,2,IF(F28='Risk Methedology Matrix'!B$30,1,0)))))</f>
        <v>4</v>
      </c>
      <c r="I28" s="58">
        <f>IF(G28='Risk Methedology Matrix'!G$25,5,IF(G28='Risk Methedology Matrix'!F$25,4,IF(G28='Risk Methedology Matrix'!E$25,3,IF(G28='Risk Methedology Matrix'!D$25,2,IF(G28='Risk Methedology Matrix'!C$25,1,0)))))</f>
        <v>4</v>
      </c>
      <c r="J28" s="58" t="str">
        <f t="shared" si="3"/>
        <v>High</v>
      </c>
      <c r="K28" s="360" t="s">
        <v>1887</v>
      </c>
      <c r="L28" s="47" t="s">
        <v>85</v>
      </c>
      <c r="M28" s="58" t="str">
        <f t="shared" si="2"/>
        <v>Medium</v>
      </c>
      <c r="N28" s="58"/>
      <c r="O28" s="63"/>
      <c r="P28" s="63"/>
      <c r="Q28" s="179"/>
      <c r="R28" s="65"/>
      <c r="S28" s="154"/>
      <c r="T28" s="361"/>
      <c r="V28" s="26"/>
    </row>
    <row r="29" spans="1:22" ht="48">
      <c r="A29" s="332" t="s">
        <v>1861</v>
      </c>
      <c r="B29" s="362" t="s">
        <v>88</v>
      </c>
      <c r="C29" s="363" t="s">
        <v>1870</v>
      </c>
      <c r="D29" s="85" t="s">
        <v>1395</v>
      </c>
      <c r="E29" s="359" t="s">
        <v>1879</v>
      </c>
      <c r="F29" s="47" t="s">
        <v>83</v>
      </c>
      <c r="G29" s="47" t="s">
        <v>84</v>
      </c>
      <c r="H29" s="58">
        <f>IF(F29='Risk Methedology Matrix'!B$26,5,IF(F29='Risk Methedology Matrix'!B$27,4,IF(F29='Risk Methedology Matrix'!B$28,3,IF(F29='Risk Methedology Matrix'!B$29,2,IF(F29='Risk Methedology Matrix'!B$30,1,0)))))</f>
        <v>4</v>
      </c>
      <c r="I29" s="58">
        <f>IF(G29='Risk Methedology Matrix'!G$25,5,IF(G29='Risk Methedology Matrix'!F$25,4,IF(G29='Risk Methedology Matrix'!E$25,3,IF(G29='Risk Methedology Matrix'!D$25,2,IF(G29='Risk Methedology Matrix'!C$25,1,0)))))</f>
        <v>4</v>
      </c>
      <c r="J29" s="58" t="str">
        <f t="shared" si="3"/>
        <v>High</v>
      </c>
      <c r="K29" s="360" t="s">
        <v>1888</v>
      </c>
      <c r="L29" s="47" t="s">
        <v>169</v>
      </c>
      <c r="M29" s="58" t="str">
        <f t="shared" si="2"/>
        <v>Low</v>
      </c>
      <c r="N29" s="58"/>
      <c r="O29" s="63"/>
      <c r="P29" s="63"/>
      <c r="Q29" s="179"/>
      <c r="R29" s="65"/>
      <c r="S29" s="154"/>
      <c r="T29" s="361"/>
      <c r="V29" s="26"/>
    </row>
    <row r="30" spans="1:22" ht="60">
      <c r="A30" s="332" t="s">
        <v>1862</v>
      </c>
      <c r="B30" s="362" t="s">
        <v>88</v>
      </c>
      <c r="C30" s="363" t="s">
        <v>1871</v>
      </c>
      <c r="D30" s="85" t="s">
        <v>1395</v>
      </c>
      <c r="E30" s="359" t="s">
        <v>1880</v>
      </c>
      <c r="F30" s="47" t="s">
        <v>83</v>
      </c>
      <c r="G30" s="47" t="s">
        <v>84</v>
      </c>
      <c r="H30" s="58">
        <f>IF(F30='Risk Methedology Matrix'!B$26,5,IF(F30='Risk Methedology Matrix'!B$27,4,IF(F30='Risk Methedology Matrix'!B$28,3,IF(F30='Risk Methedology Matrix'!B$29,2,IF(F30='Risk Methedology Matrix'!B$30,1,0)))))</f>
        <v>4</v>
      </c>
      <c r="I30" s="58">
        <f>IF(G30='Risk Methedology Matrix'!G$25,5,IF(G30='Risk Methedology Matrix'!F$25,4,IF(G30='Risk Methedology Matrix'!E$25,3,IF(G30='Risk Methedology Matrix'!D$25,2,IF(G30='Risk Methedology Matrix'!C$25,1,0)))))</f>
        <v>4</v>
      </c>
      <c r="J30" s="58" t="str">
        <f t="shared" si="3"/>
        <v>High</v>
      </c>
      <c r="K30" s="360" t="s">
        <v>1889</v>
      </c>
      <c r="L30" s="47" t="s">
        <v>85</v>
      </c>
      <c r="M30" s="58" t="str">
        <f t="shared" si="2"/>
        <v>Medium</v>
      </c>
      <c r="N30" s="58"/>
      <c r="O30" s="63"/>
      <c r="P30" s="63"/>
      <c r="Q30" s="179"/>
      <c r="R30" s="65"/>
      <c r="S30" s="154"/>
      <c r="T30" s="361"/>
      <c r="V30" s="26"/>
    </row>
    <row r="31" spans="1:22" ht="72">
      <c r="A31" s="332" t="s">
        <v>1863</v>
      </c>
      <c r="B31" s="362" t="s">
        <v>88</v>
      </c>
      <c r="C31" s="363" t="s">
        <v>1872</v>
      </c>
      <c r="D31" s="85" t="s">
        <v>1395</v>
      </c>
      <c r="E31" s="359" t="s">
        <v>1881</v>
      </c>
      <c r="F31" s="47" t="s">
        <v>83</v>
      </c>
      <c r="G31" s="47" t="s">
        <v>84</v>
      </c>
      <c r="H31" s="58">
        <f>IF(F31='Risk Methedology Matrix'!B$26,5,IF(F31='Risk Methedology Matrix'!B$27,4,IF(F31='Risk Methedology Matrix'!B$28,3,IF(F31='Risk Methedology Matrix'!B$29,2,IF(F31='Risk Methedology Matrix'!B$30,1,0)))))</f>
        <v>4</v>
      </c>
      <c r="I31" s="58">
        <f>IF(G31='Risk Methedology Matrix'!G$25,5,IF(G31='Risk Methedology Matrix'!F$25,4,IF(G31='Risk Methedology Matrix'!E$25,3,IF(G31='Risk Methedology Matrix'!D$25,2,IF(G31='Risk Methedology Matrix'!C$25,1,0)))))</f>
        <v>4</v>
      </c>
      <c r="J31" s="58" t="str">
        <f t="shared" si="3"/>
        <v>High</v>
      </c>
      <c r="K31" s="360" t="s">
        <v>1890</v>
      </c>
      <c r="L31" s="47" t="s">
        <v>85</v>
      </c>
      <c r="M31" s="58" t="str">
        <f t="shared" si="2"/>
        <v>Medium</v>
      </c>
      <c r="N31" s="58"/>
      <c r="O31" s="63"/>
      <c r="P31" s="63"/>
      <c r="Q31" s="179"/>
      <c r="R31" s="65"/>
      <c r="S31" s="154"/>
      <c r="T31" s="361"/>
      <c r="V31" s="26"/>
    </row>
    <row r="32" spans="1:22" ht="36">
      <c r="A32" s="332" t="s">
        <v>1864</v>
      </c>
      <c r="B32" s="362" t="s">
        <v>88</v>
      </c>
      <c r="C32" s="363" t="s">
        <v>1873</v>
      </c>
      <c r="D32" s="85" t="s">
        <v>1395</v>
      </c>
      <c r="E32" s="359" t="s">
        <v>1882</v>
      </c>
      <c r="F32" s="47" t="s">
        <v>83</v>
      </c>
      <c r="G32" s="47" t="s">
        <v>84</v>
      </c>
      <c r="H32" s="58">
        <f>IF(F32='Risk Methedology Matrix'!B$26,5,IF(F32='Risk Methedology Matrix'!B$27,4,IF(F32='Risk Methedology Matrix'!B$28,3,IF(F32='Risk Methedology Matrix'!B$29,2,IF(F32='Risk Methedology Matrix'!B$30,1,0)))))</f>
        <v>4</v>
      </c>
      <c r="I32" s="58">
        <f>IF(G32='Risk Methedology Matrix'!G$25,5,IF(G32='Risk Methedology Matrix'!F$25,4,IF(G32='Risk Methedology Matrix'!E$25,3,IF(G32='Risk Methedology Matrix'!D$25,2,IF(G32='Risk Methedology Matrix'!C$25,1,0)))))</f>
        <v>4</v>
      </c>
      <c r="J32" s="58" t="str">
        <f t="shared" si="3"/>
        <v>High</v>
      </c>
      <c r="K32" s="360" t="s">
        <v>1891</v>
      </c>
      <c r="L32" s="47" t="s">
        <v>85</v>
      </c>
      <c r="M32" s="58" t="str">
        <f t="shared" si="2"/>
        <v>Medium</v>
      </c>
      <c r="N32" s="58"/>
      <c r="O32" s="63"/>
      <c r="P32" s="63"/>
      <c r="Q32" s="179"/>
      <c r="R32" s="65"/>
      <c r="S32" s="154"/>
      <c r="T32" s="361"/>
      <c r="V32" s="26"/>
    </row>
    <row r="33" spans="1:22" ht="25">
      <c r="A33" s="95" t="s">
        <v>268</v>
      </c>
      <c r="B33" s="95" t="s">
        <v>79</v>
      </c>
      <c r="C33" s="95" t="s">
        <v>269</v>
      </c>
      <c r="D33" s="304" t="s">
        <v>270</v>
      </c>
      <c r="E33" s="95" t="s">
        <v>271</v>
      </c>
      <c r="F33" s="47" t="s">
        <v>114</v>
      </c>
      <c r="G33" s="47" t="s">
        <v>161</v>
      </c>
      <c r="H33" s="58">
        <f>IF(F33='Risk Methedology Matrix'!B$26,5,IF(F33='Risk Methedology Matrix'!B$27,4,IF(F33='Risk Methedology Matrix'!B$28,3,IF(F33='Risk Methedology Matrix'!B$29,2,IF(F33='Risk Methedology Matrix'!B$30,1,0)))))</f>
        <v>3</v>
      </c>
      <c r="I33" s="58">
        <f>IF(G33='Risk Methedology Matrix'!G$25,5,IF(G33='Risk Methedology Matrix'!F$25,4,IF(G33='Risk Methedology Matrix'!E$25,3,IF(G33='Risk Methedology Matrix'!D$25,2,IF(G33='Risk Methedology Matrix'!C$25,1,0)))))</f>
        <v>2</v>
      </c>
      <c r="J33" s="58" t="str">
        <f t="shared" ref="J33:J96" si="4">IF(OR(F33="",G33=""),"",IF(H33*I33&gt;=20,"Very High",IF(AND(H33*I33&lt;20,H33*I33&gt;=11),"High",IF(AND(H33*I33&lt;11,H33*I33&gt;=6),"Medium",IF(AND(H33*I33&lt;6,H33*I33&gt;=3),"Low",IF(AND(H33*I33&lt;3,H33*I33&gt;=1),"Very Low",""))))))</f>
        <v>Medium</v>
      </c>
      <c r="K33" s="96" t="s">
        <v>272</v>
      </c>
      <c r="L33" s="47" t="s">
        <v>85</v>
      </c>
      <c r="M33" s="58" t="str">
        <f t="shared" si="2"/>
        <v>Low</v>
      </c>
      <c r="N33" s="96"/>
      <c r="O33" s="98"/>
      <c r="P33" s="98"/>
      <c r="Q33" s="97"/>
      <c r="R33" s="65"/>
      <c r="S33" s="154" t="str">
        <f t="shared" si="0"/>
        <v/>
      </c>
      <c r="U33" s="151"/>
      <c r="V33" s="151"/>
    </row>
    <row r="34" spans="1:22" ht="25">
      <c r="A34" s="95" t="s">
        <v>273</v>
      </c>
      <c r="B34" s="95" t="s">
        <v>88</v>
      </c>
      <c r="C34" s="95" t="s">
        <v>274</v>
      </c>
      <c r="D34" s="304" t="s">
        <v>270</v>
      </c>
      <c r="E34" s="95" t="s">
        <v>275</v>
      </c>
      <c r="F34" s="47" t="s">
        <v>114</v>
      </c>
      <c r="G34" s="47" t="s">
        <v>161</v>
      </c>
      <c r="H34" s="58">
        <f>IF(F34='Risk Methedology Matrix'!B$26,5,IF(F34='Risk Methedology Matrix'!B$27,4,IF(F34='Risk Methedology Matrix'!B$28,3,IF(F34='Risk Methedology Matrix'!B$29,2,IF(F34='Risk Methedology Matrix'!B$30,1,0)))))</f>
        <v>3</v>
      </c>
      <c r="I34" s="58">
        <f>IF(G34='Risk Methedology Matrix'!G$25,5,IF(G34='Risk Methedology Matrix'!F$25,4,IF(G34='Risk Methedology Matrix'!E$25,3,IF(G34='Risk Methedology Matrix'!D$25,2,IF(G34='Risk Methedology Matrix'!C$25,1,0)))))</f>
        <v>2</v>
      </c>
      <c r="J34" s="58" t="str">
        <f t="shared" si="4"/>
        <v>Medium</v>
      </c>
      <c r="K34" s="96" t="s">
        <v>276</v>
      </c>
      <c r="L34" s="47" t="s">
        <v>85</v>
      </c>
      <c r="M34" s="58" t="str">
        <f t="shared" si="2"/>
        <v>Low</v>
      </c>
      <c r="N34" s="96"/>
      <c r="O34" s="97"/>
      <c r="P34" s="98"/>
      <c r="Q34" s="97"/>
      <c r="R34" s="65"/>
      <c r="S34" s="154" t="str">
        <f t="shared" si="0"/>
        <v/>
      </c>
      <c r="U34" s="151"/>
      <c r="V34" s="151"/>
    </row>
    <row r="35" spans="1:22" ht="37.5">
      <c r="A35" s="95" t="s">
        <v>277</v>
      </c>
      <c r="B35" s="95" t="s">
        <v>88</v>
      </c>
      <c r="C35" s="95" t="s">
        <v>278</v>
      </c>
      <c r="D35" s="304" t="s">
        <v>270</v>
      </c>
      <c r="E35" s="95" t="s">
        <v>279</v>
      </c>
      <c r="F35" s="47" t="s">
        <v>83</v>
      </c>
      <c r="G35" s="47" t="s">
        <v>84</v>
      </c>
      <c r="H35" s="58">
        <f>IF(F35='Risk Methedology Matrix'!B$26,5,IF(F35='Risk Methedology Matrix'!B$27,4,IF(F35='Risk Methedology Matrix'!B$28,3,IF(F35='Risk Methedology Matrix'!B$29,2,IF(F35='Risk Methedology Matrix'!B$30,1,0)))))</f>
        <v>4</v>
      </c>
      <c r="I35" s="58">
        <f>IF(G35='Risk Methedology Matrix'!G$25,5,IF(G35='Risk Methedology Matrix'!F$25,4,IF(G35='Risk Methedology Matrix'!E$25,3,IF(G35='Risk Methedology Matrix'!D$25,2,IF(G35='Risk Methedology Matrix'!C$25,1,0)))))</f>
        <v>4</v>
      </c>
      <c r="J35" s="58" t="str">
        <f t="shared" si="4"/>
        <v>High</v>
      </c>
      <c r="K35" s="96" t="s">
        <v>280</v>
      </c>
      <c r="L35" s="47" t="s">
        <v>169</v>
      </c>
      <c r="M35" s="58" t="str">
        <f t="shared" si="2"/>
        <v>Low</v>
      </c>
      <c r="N35" s="96"/>
      <c r="O35" s="97"/>
      <c r="P35" s="98"/>
      <c r="Q35" s="97"/>
      <c r="R35" s="65"/>
      <c r="S35" s="154" t="str">
        <f t="shared" si="0"/>
        <v/>
      </c>
      <c r="U35" s="151"/>
      <c r="V35" s="151"/>
    </row>
    <row r="36" spans="1:22" ht="13">
      <c r="A36" s="95" t="s">
        <v>281</v>
      </c>
      <c r="B36" s="95" t="s">
        <v>88</v>
      </c>
      <c r="C36" s="95" t="s">
        <v>282</v>
      </c>
      <c r="D36" s="304" t="s">
        <v>270</v>
      </c>
      <c r="E36" s="95" t="s">
        <v>283</v>
      </c>
      <c r="F36" s="47" t="s">
        <v>83</v>
      </c>
      <c r="G36" s="47" t="s">
        <v>84</v>
      </c>
      <c r="H36" s="58">
        <f>IF(F36='Risk Methedology Matrix'!B$26,5,IF(F36='Risk Methedology Matrix'!B$27,4,IF(F36='Risk Methedology Matrix'!B$28,3,IF(F36='Risk Methedology Matrix'!B$29,2,IF(F36='Risk Methedology Matrix'!B$30,1,0)))))</f>
        <v>4</v>
      </c>
      <c r="I36" s="58">
        <f>IF(G36='Risk Methedology Matrix'!G$25,5,IF(G36='Risk Methedology Matrix'!F$25,4,IF(G36='Risk Methedology Matrix'!E$25,3,IF(G36='Risk Methedology Matrix'!D$25,2,IF(G36='Risk Methedology Matrix'!C$25,1,0)))))</f>
        <v>4</v>
      </c>
      <c r="J36" s="58" t="str">
        <f t="shared" si="4"/>
        <v>High</v>
      </c>
      <c r="K36" s="96" t="s">
        <v>284</v>
      </c>
      <c r="L36" s="47" t="s">
        <v>169</v>
      </c>
      <c r="M36" s="58" t="str">
        <f t="shared" si="2"/>
        <v>Low</v>
      </c>
      <c r="N36" s="96"/>
      <c r="O36" s="97"/>
      <c r="P36" s="98"/>
      <c r="Q36" s="97"/>
      <c r="R36" s="65"/>
      <c r="S36" s="154" t="str">
        <f t="shared" si="0"/>
        <v/>
      </c>
      <c r="U36" s="151"/>
      <c r="V36" s="151"/>
    </row>
    <row r="37" spans="1:22" ht="25">
      <c r="A37" s="95" t="s">
        <v>285</v>
      </c>
      <c r="B37" s="95" t="s">
        <v>88</v>
      </c>
      <c r="C37" s="95" t="s">
        <v>286</v>
      </c>
      <c r="D37" s="304" t="s">
        <v>270</v>
      </c>
      <c r="E37" s="95" t="s">
        <v>287</v>
      </c>
      <c r="F37" s="47" t="s">
        <v>83</v>
      </c>
      <c r="G37" s="47" t="s">
        <v>84</v>
      </c>
      <c r="H37" s="58">
        <f>IF(F37='Risk Methedology Matrix'!B$26,5,IF(F37='Risk Methedology Matrix'!B$27,4,IF(F37='Risk Methedology Matrix'!B$28,3,IF(F37='Risk Methedology Matrix'!B$29,2,IF(F37='Risk Methedology Matrix'!B$30,1,0)))))</f>
        <v>4</v>
      </c>
      <c r="I37" s="58">
        <f>IF(G37='Risk Methedology Matrix'!G$25,5,IF(G37='Risk Methedology Matrix'!F$25,4,IF(G37='Risk Methedology Matrix'!E$25,3,IF(G37='Risk Methedology Matrix'!D$25,2,IF(G37='Risk Methedology Matrix'!C$25,1,0)))))</f>
        <v>4</v>
      </c>
      <c r="J37" s="58" t="str">
        <f t="shared" si="4"/>
        <v>High</v>
      </c>
      <c r="K37" s="96" t="s">
        <v>288</v>
      </c>
      <c r="L37" s="47" t="s">
        <v>169</v>
      </c>
      <c r="M37" s="58" t="str">
        <f t="shared" si="2"/>
        <v>Low</v>
      </c>
      <c r="N37" s="96"/>
      <c r="O37" s="97"/>
      <c r="P37" s="98"/>
      <c r="Q37" s="97"/>
      <c r="R37" s="65"/>
      <c r="S37" s="154" t="str">
        <f t="shared" si="0"/>
        <v/>
      </c>
      <c r="U37" s="151"/>
      <c r="V37" s="151"/>
    </row>
    <row r="38" spans="1:22" ht="25">
      <c r="A38" s="95" t="s">
        <v>289</v>
      </c>
      <c r="B38" s="95" t="s">
        <v>88</v>
      </c>
      <c r="C38" s="95" t="s">
        <v>290</v>
      </c>
      <c r="D38" s="304" t="s">
        <v>270</v>
      </c>
      <c r="E38" s="95" t="s">
        <v>291</v>
      </c>
      <c r="F38" s="47" t="s">
        <v>83</v>
      </c>
      <c r="G38" s="47" t="s">
        <v>84</v>
      </c>
      <c r="H38" s="58">
        <f>IF(F38='Risk Methedology Matrix'!B$26,5,IF(F38='Risk Methedology Matrix'!B$27,4,IF(F38='Risk Methedology Matrix'!B$28,3,IF(F38='Risk Methedology Matrix'!B$29,2,IF(F38='Risk Methedology Matrix'!B$30,1,0)))))</f>
        <v>4</v>
      </c>
      <c r="I38" s="58">
        <f>IF(G38='Risk Methedology Matrix'!G$25,5,IF(G38='Risk Methedology Matrix'!F$25,4,IF(G38='Risk Methedology Matrix'!E$25,3,IF(G38='Risk Methedology Matrix'!D$25,2,IF(G38='Risk Methedology Matrix'!C$25,1,0)))))</f>
        <v>4</v>
      </c>
      <c r="J38" s="58" t="str">
        <f t="shared" si="4"/>
        <v>High</v>
      </c>
      <c r="K38" s="96" t="s">
        <v>292</v>
      </c>
      <c r="L38" s="47" t="s">
        <v>169</v>
      </c>
      <c r="M38" s="58" t="str">
        <f t="shared" si="2"/>
        <v>Low</v>
      </c>
      <c r="N38" s="96"/>
      <c r="O38" s="97"/>
      <c r="P38" s="98"/>
      <c r="Q38" s="97"/>
      <c r="R38" s="65"/>
      <c r="S38" s="154" t="str">
        <f t="shared" si="0"/>
        <v/>
      </c>
      <c r="U38" s="151"/>
      <c r="V38" s="151"/>
    </row>
    <row r="39" spans="1:22" ht="25">
      <c r="A39" s="95" t="s">
        <v>293</v>
      </c>
      <c r="B39" s="95" t="s">
        <v>88</v>
      </c>
      <c r="C39" s="95" t="s">
        <v>294</v>
      </c>
      <c r="D39" s="304" t="s">
        <v>270</v>
      </c>
      <c r="E39" s="95" t="s">
        <v>295</v>
      </c>
      <c r="F39" s="47" t="s">
        <v>83</v>
      </c>
      <c r="G39" s="47" t="s">
        <v>84</v>
      </c>
      <c r="H39" s="58">
        <f>IF(F39='Risk Methedology Matrix'!B$26,5,IF(F39='Risk Methedology Matrix'!B$27,4,IF(F39='Risk Methedology Matrix'!B$28,3,IF(F39='Risk Methedology Matrix'!B$29,2,IF(F39='Risk Methedology Matrix'!B$30,1,0)))))</f>
        <v>4</v>
      </c>
      <c r="I39" s="58">
        <f>IF(G39='Risk Methedology Matrix'!G$25,5,IF(G39='Risk Methedology Matrix'!F$25,4,IF(G39='Risk Methedology Matrix'!E$25,3,IF(G39='Risk Methedology Matrix'!D$25,2,IF(G39='Risk Methedology Matrix'!C$25,1,0)))))</f>
        <v>4</v>
      </c>
      <c r="J39" s="58" t="str">
        <f t="shared" si="4"/>
        <v>High</v>
      </c>
      <c r="K39" s="96" t="s">
        <v>296</v>
      </c>
      <c r="L39" s="47" t="s">
        <v>169</v>
      </c>
      <c r="M39" s="58" t="str">
        <f t="shared" si="2"/>
        <v>Low</v>
      </c>
      <c r="N39" s="96"/>
      <c r="O39" s="97"/>
      <c r="P39" s="98"/>
      <c r="Q39" s="97"/>
      <c r="R39" s="65"/>
      <c r="S39" s="154" t="str">
        <f t="shared" si="0"/>
        <v/>
      </c>
      <c r="U39" s="151"/>
      <c r="V39" s="151"/>
    </row>
    <row r="40" spans="1:22" ht="25">
      <c r="A40" s="95" t="s">
        <v>297</v>
      </c>
      <c r="B40" s="95" t="s">
        <v>88</v>
      </c>
      <c r="C40" s="95" t="s">
        <v>298</v>
      </c>
      <c r="D40" s="304" t="s">
        <v>270</v>
      </c>
      <c r="E40" s="95" t="s">
        <v>299</v>
      </c>
      <c r="F40" s="47" t="s">
        <v>83</v>
      </c>
      <c r="G40" s="47" t="s">
        <v>84</v>
      </c>
      <c r="H40" s="58">
        <f>IF(F40='Risk Methedology Matrix'!B$26,5,IF(F40='Risk Methedology Matrix'!B$27,4,IF(F40='Risk Methedology Matrix'!B$28,3,IF(F40='Risk Methedology Matrix'!B$29,2,IF(F40='Risk Methedology Matrix'!B$30,1,0)))))</f>
        <v>4</v>
      </c>
      <c r="I40" s="58">
        <f>IF(G40='Risk Methedology Matrix'!G$25,5,IF(G40='Risk Methedology Matrix'!F$25,4,IF(G40='Risk Methedology Matrix'!E$25,3,IF(G40='Risk Methedology Matrix'!D$25,2,IF(G40='Risk Methedology Matrix'!C$25,1,0)))))</f>
        <v>4</v>
      </c>
      <c r="J40" s="58" t="str">
        <f t="shared" si="4"/>
        <v>High</v>
      </c>
      <c r="K40" s="96" t="s">
        <v>300</v>
      </c>
      <c r="L40" s="47" t="s">
        <v>169</v>
      </c>
      <c r="M40" s="58" t="str">
        <f t="shared" si="2"/>
        <v>Low</v>
      </c>
      <c r="N40" s="96"/>
      <c r="O40" s="97"/>
      <c r="P40" s="98"/>
      <c r="Q40" s="97"/>
      <c r="R40" s="65"/>
      <c r="S40" s="154" t="str">
        <f t="shared" si="0"/>
        <v/>
      </c>
      <c r="U40" s="151"/>
      <c r="V40" s="151"/>
    </row>
    <row r="41" spans="1:22" ht="25">
      <c r="A41" s="95" t="s">
        <v>301</v>
      </c>
      <c r="B41" s="95" t="s">
        <v>117</v>
      </c>
      <c r="C41" s="95" t="s">
        <v>302</v>
      </c>
      <c r="D41" s="304" t="s">
        <v>270</v>
      </c>
      <c r="E41" s="95" t="s">
        <v>303</v>
      </c>
      <c r="F41" s="47" t="s">
        <v>83</v>
      </c>
      <c r="G41" s="47" t="s">
        <v>84</v>
      </c>
      <c r="H41" s="58">
        <f>IF(F41='Risk Methedology Matrix'!B$26,5,IF(F41='Risk Methedology Matrix'!B$27,4,IF(F41='Risk Methedology Matrix'!B$28,3,IF(F41='Risk Methedology Matrix'!B$29,2,IF(F41='Risk Methedology Matrix'!B$30,1,0)))))</f>
        <v>4</v>
      </c>
      <c r="I41" s="58">
        <f>IF(G41='Risk Methedology Matrix'!G$25,5,IF(G41='Risk Methedology Matrix'!F$25,4,IF(G41='Risk Methedology Matrix'!E$25,3,IF(G41='Risk Methedology Matrix'!D$25,2,IF(G41='Risk Methedology Matrix'!C$25,1,0)))))</f>
        <v>4</v>
      </c>
      <c r="J41" s="58" t="str">
        <f t="shared" si="4"/>
        <v>High</v>
      </c>
      <c r="K41" s="96" t="s">
        <v>304</v>
      </c>
      <c r="L41" s="47" t="s">
        <v>169</v>
      </c>
      <c r="M41" s="58" t="str">
        <f t="shared" si="2"/>
        <v>Low</v>
      </c>
      <c r="N41" s="96"/>
      <c r="O41" s="97"/>
      <c r="P41" s="98"/>
      <c r="Q41" s="97"/>
      <c r="R41" s="65"/>
      <c r="S41" s="154" t="str">
        <f t="shared" si="0"/>
        <v/>
      </c>
      <c r="U41" s="151"/>
      <c r="V41" s="151"/>
    </row>
    <row r="42" spans="1:22" ht="25">
      <c r="A42" s="95" t="s">
        <v>305</v>
      </c>
      <c r="B42" s="95" t="s">
        <v>117</v>
      </c>
      <c r="C42" s="95" t="s">
        <v>306</v>
      </c>
      <c r="D42" s="304" t="s">
        <v>270</v>
      </c>
      <c r="E42" s="95" t="s">
        <v>307</v>
      </c>
      <c r="F42" s="47" t="s">
        <v>83</v>
      </c>
      <c r="G42" s="47" t="s">
        <v>84</v>
      </c>
      <c r="H42" s="58">
        <f>IF(F42='Risk Methedology Matrix'!B$26,5,IF(F42='Risk Methedology Matrix'!B$27,4,IF(F42='Risk Methedology Matrix'!B$28,3,IF(F42='Risk Methedology Matrix'!B$29,2,IF(F42='Risk Methedology Matrix'!B$30,1,0)))))</f>
        <v>4</v>
      </c>
      <c r="I42" s="58">
        <f>IF(G42='Risk Methedology Matrix'!G$25,5,IF(G42='Risk Methedology Matrix'!F$25,4,IF(G42='Risk Methedology Matrix'!E$25,3,IF(G42='Risk Methedology Matrix'!D$25,2,IF(G42='Risk Methedology Matrix'!C$25,1,0)))))</f>
        <v>4</v>
      </c>
      <c r="J42" s="58" t="str">
        <f t="shared" si="4"/>
        <v>High</v>
      </c>
      <c r="K42" s="96" t="s">
        <v>308</v>
      </c>
      <c r="L42" s="47" t="s">
        <v>169</v>
      </c>
      <c r="M42" s="58" t="str">
        <f t="shared" si="2"/>
        <v>Low</v>
      </c>
      <c r="N42" s="96"/>
      <c r="O42" s="97"/>
      <c r="P42" s="98"/>
      <c r="Q42" s="97"/>
      <c r="R42" s="65"/>
      <c r="S42" s="154" t="str">
        <f t="shared" si="0"/>
        <v/>
      </c>
      <c r="U42" s="151"/>
      <c r="V42" s="151"/>
    </row>
    <row r="43" spans="1:22" ht="25">
      <c r="A43" s="95" t="s">
        <v>309</v>
      </c>
      <c r="B43" s="95" t="s">
        <v>88</v>
      </c>
      <c r="C43" s="95" t="s">
        <v>310</v>
      </c>
      <c r="D43" s="304" t="s">
        <v>270</v>
      </c>
      <c r="E43" s="95" t="s">
        <v>311</v>
      </c>
      <c r="F43" s="47" t="s">
        <v>83</v>
      </c>
      <c r="G43" s="47" t="s">
        <v>84</v>
      </c>
      <c r="H43" s="58">
        <f>IF(F43='Risk Methedology Matrix'!B$26,5,IF(F43='Risk Methedology Matrix'!B$27,4,IF(F43='Risk Methedology Matrix'!B$28,3,IF(F43='Risk Methedology Matrix'!B$29,2,IF(F43='Risk Methedology Matrix'!B$30,1,0)))))</f>
        <v>4</v>
      </c>
      <c r="I43" s="58">
        <f>IF(G43='Risk Methedology Matrix'!G$25,5,IF(G43='Risk Methedology Matrix'!F$25,4,IF(G43='Risk Methedology Matrix'!E$25,3,IF(G43='Risk Methedology Matrix'!D$25,2,IF(G43='Risk Methedology Matrix'!C$25,1,0)))))</f>
        <v>4</v>
      </c>
      <c r="J43" s="58" t="str">
        <f t="shared" si="4"/>
        <v>High</v>
      </c>
      <c r="K43" s="96" t="s">
        <v>312</v>
      </c>
      <c r="L43" s="47" t="s">
        <v>169</v>
      </c>
      <c r="M43" s="58" t="str">
        <f t="shared" si="2"/>
        <v>Low</v>
      </c>
      <c r="N43" s="96"/>
      <c r="O43" s="97"/>
      <c r="P43" s="98"/>
      <c r="Q43" s="97"/>
      <c r="R43" s="65"/>
      <c r="S43" s="154" t="str">
        <f t="shared" si="0"/>
        <v/>
      </c>
      <c r="U43" s="151"/>
      <c r="V43" s="151"/>
    </row>
    <row r="44" spans="1:22" ht="25">
      <c r="A44" s="95" t="s">
        <v>313</v>
      </c>
      <c r="B44" s="95" t="s">
        <v>88</v>
      </c>
      <c r="C44" s="95" t="s">
        <v>314</v>
      </c>
      <c r="D44" s="304" t="s">
        <v>270</v>
      </c>
      <c r="E44" s="95" t="s">
        <v>315</v>
      </c>
      <c r="F44" s="47" t="s">
        <v>83</v>
      </c>
      <c r="G44" s="47" t="s">
        <v>84</v>
      </c>
      <c r="H44" s="58">
        <f>IF(F44='Risk Methedology Matrix'!B$26,5,IF(F44='Risk Methedology Matrix'!B$27,4,IF(F44='Risk Methedology Matrix'!B$28,3,IF(F44='Risk Methedology Matrix'!B$29,2,IF(F44='Risk Methedology Matrix'!B$30,1,0)))))</f>
        <v>4</v>
      </c>
      <c r="I44" s="58">
        <f>IF(G44='Risk Methedology Matrix'!G$25,5,IF(G44='Risk Methedology Matrix'!F$25,4,IF(G44='Risk Methedology Matrix'!E$25,3,IF(G44='Risk Methedology Matrix'!D$25,2,IF(G44='Risk Methedology Matrix'!C$25,1,0)))))</f>
        <v>4</v>
      </c>
      <c r="J44" s="58" t="str">
        <f t="shared" si="4"/>
        <v>High</v>
      </c>
      <c r="K44" s="96" t="s">
        <v>316</v>
      </c>
      <c r="L44" s="47" t="s">
        <v>169</v>
      </c>
      <c r="M44" s="58" t="str">
        <f t="shared" si="2"/>
        <v>Low</v>
      </c>
      <c r="N44" s="96"/>
      <c r="O44" s="97"/>
      <c r="P44" s="98"/>
      <c r="Q44" s="97"/>
      <c r="R44" s="65"/>
      <c r="S44" s="154" t="str">
        <f t="shared" si="0"/>
        <v/>
      </c>
      <c r="U44" s="151"/>
      <c r="V44" s="151"/>
    </row>
    <row r="45" spans="1:22" ht="25">
      <c r="A45" s="95" t="s">
        <v>317</v>
      </c>
      <c r="B45" s="95" t="s">
        <v>88</v>
      </c>
      <c r="C45" s="95" t="s">
        <v>318</v>
      </c>
      <c r="D45" s="304" t="s">
        <v>270</v>
      </c>
      <c r="E45" s="95" t="s">
        <v>319</v>
      </c>
      <c r="F45" s="47" t="s">
        <v>83</v>
      </c>
      <c r="G45" s="47" t="s">
        <v>84</v>
      </c>
      <c r="H45" s="58">
        <f>IF(F45='Risk Methedology Matrix'!B$26,5,IF(F45='Risk Methedology Matrix'!B$27,4,IF(F45='Risk Methedology Matrix'!B$28,3,IF(F45='Risk Methedology Matrix'!B$29,2,IF(F45='Risk Methedology Matrix'!B$30,1,0)))))</f>
        <v>4</v>
      </c>
      <c r="I45" s="58">
        <f>IF(G45='Risk Methedology Matrix'!G$25,5,IF(G45='Risk Methedology Matrix'!F$25,4,IF(G45='Risk Methedology Matrix'!E$25,3,IF(G45='Risk Methedology Matrix'!D$25,2,IF(G45='Risk Methedology Matrix'!C$25,1,0)))))</f>
        <v>4</v>
      </c>
      <c r="J45" s="58" t="str">
        <f t="shared" si="4"/>
        <v>High</v>
      </c>
      <c r="K45" s="96" t="s">
        <v>320</v>
      </c>
      <c r="L45" s="47" t="s">
        <v>169</v>
      </c>
      <c r="M45" s="58" t="str">
        <f t="shared" si="2"/>
        <v>Low</v>
      </c>
      <c r="N45" s="96"/>
      <c r="O45" s="97"/>
      <c r="P45" s="98"/>
      <c r="Q45" s="97"/>
      <c r="R45" s="65"/>
      <c r="S45" s="154" t="str">
        <f t="shared" si="0"/>
        <v/>
      </c>
      <c r="U45" s="151" t="s">
        <v>1185</v>
      </c>
      <c r="V45" s="96" t="s">
        <v>1186</v>
      </c>
    </row>
    <row r="46" spans="1:22" ht="13">
      <c r="A46" s="95" t="s">
        <v>321</v>
      </c>
      <c r="B46" s="95" t="s">
        <v>117</v>
      </c>
      <c r="C46" s="95" t="s">
        <v>322</v>
      </c>
      <c r="D46" s="304" t="s">
        <v>270</v>
      </c>
      <c r="E46" s="95" t="s">
        <v>323</v>
      </c>
      <c r="F46" s="47" t="s">
        <v>83</v>
      </c>
      <c r="G46" s="47" t="s">
        <v>84</v>
      </c>
      <c r="H46" s="58">
        <f>IF(F46='Risk Methedology Matrix'!B$26,5,IF(F46='Risk Methedology Matrix'!B$27,4,IF(F46='Risk Methedology Matrix'!B$28,3,IF(F46='Risk Methedology Matrix'!B$29,2,IF(F46='Risk Methedology Matrix'!B$30,1,0)))))</f>
        <v>4</v>
      </c>
      <c r="I46" s="58">
        <f>IF(G46='Risk Methedology Matrix'!G$25,5,IF(G46='Risk Methedology Matrix'!F$25,4,IF(G46='Risk Methedology Matrix'!E$25,3,IF(G46='Risk Methedology Matrix'!D$25,2,IF(G46='Risk Methedology Matrix'!C$25,1,0)))))</f>
        <v>4</v>
      </c>
      <c r="J46" s="58" t="str">
        <f t="shared" si="4"/>
        <v>High</v>
      </c>
      <c r="K46" s="96" t="s">
        <v>324</v>
      </c>
      <c r="L46" s="47" t="s">
        <v>169</v>
      </c>
      <c r="M46" s="58" t="str">
        <f t="shared" si="2"/>
        <v>Low</v>
      </c>
      <c r="N46" s="96"/>
      <c r="O46" s="97"/>
      <c r="P46" s="98"/>
      <c r="Q46" s="97"/>
      <c r="R46" s="65"/>
      <c r="S46" s="154" t="str">
        <f t="shared" si="0"/>
        <v/>
      </c>
      <c r="U46" s="151" t="s">
        <v>1185</v>
      </c>
      <c r="V46" s="96" t="s">
        <v>1186</v>
      </c>
    </row>
    <row r="47" spans="1:22" ht="13">
      <c r="A47" s="95" t="s">
        <v>325</v>
      </c>
      <c r="B47" s="95" t="s">
        <v>117</v>
      </c>
      <c r="C47" s="95" t="s">
        <v>326</v>
      </c>
      <c r="D47" s="304" t="s">
        <v>270</v>
      </c>
      <c r="E47" s="95" t="s">
        <v>327</v>
      </c>
      <c r="F47" s="47" t="s">
        <v>83</v>
      </c>
      <c r="G47" s="47" t="s">
        <v>84</v>
      </c>
      <c r="H47" s="58">
        <f>IF(F47='Risk Methedology Matrix'!B$26,5,IF(F47='Risk Methedology Matrix'!B$27,4,IF(F47='Risk Methedology Matrix'!B$28,3,IF(F47='Risk Methedology Matrix'!B$29,2,IF(F47='Risk Methedology Matrix'!B$30,1,0)))))</f>
        <v>4</v>
      </c>
      <c r="I47" s="58">
        <f>IF(G47='Risk Methedology Matrix'!G$25,5,IF(G47='Risk Methedology Matrix'!F$25,4,IF(G47='Risk Methedology Matrix'!E$25,3,IF(G47='Risk Methedology Matrix'!D$25,2,IF(G47='Risk Methedology Matrix'!C$25,1,0)))))</f>
        <v>4</v>
      </c>
      <c r="J47" s="58" t="str">
        <f t="shared" si="4"/>
        <v>High</v>
      </c>
      <c r="K47" s="96" t="s">
        <v>328</v>
      </c>
      <c r="L47" s="47" t="s">
        <v>169</v>
      </c>
      <c r="M47" s="58" t="str">
        <f t="shared" si="2"/>
        <v>Low</v>
      </c>
      <c r="N47" s="96"/>
      <c r="O47" s="97"/>
      <c r="P47" s="98"/>
      <c r="Q47" s="97"/>
      <c r="R47" s="65"/>
      <c r="S47" s="154" t="str">
        <f t="shared" si="0"/>
        <v/>
      </c>
      <c r="U47" s="151" t="s">
        <v>1185</v>
      </c>
      <c r="V47" s="96" t="s">
        <v>1186</v>
      </c>
    </row>
    <row r="48" spans="1:22" ht="13">
      <c r="A48" s="95" t="s">
        <v>329</v>
      </c>
      <c r="B48" s="95" t="s">
        <v>79</v>
      </c>
      <c r="C48" s="95" t="s">
        <v>330</v>
      </c>
      <c r="D48" s="304" t="s">
        <v>270</v>
      </c>
      <c r="E48" s="95" t="s">
        <v>331</v>
      </c>
      <c r="F48" s="47" t="s">
        <v>83</v>
      </c>
      <c r="G48" s="47" t="s">
        <v>84</v>
      </c>
      <c r="H48" s="58">
        <f>IF(F48='Risk Methedology Matrix'!B$26,5,IF(F48='Risk Methedology Matrix'!B$27,4,IF(F48='Risk Methedology Matrix'!B$28,3,IF(F48='Risk Methedology Matrix'!B$29,2,IF(F48='Risk Methedology Matrix'!B$30,1,0)))))</f>
        <v>4</v>
      </c>
      <c r="I48" s="58">
        <f>IF(G48='Risk Methedology Matrix'!G$25,5,IF(G48='Risk Methedology Matrix'!F$25,4,IF(G48='Risk Methedology Matrix'!E$25,3,IF(G48='Risk Methedology Matrix'!D$25,2,IF(G48='Risk Methedology Matrix'!C$25,1,0)))))</f>
        <v>4</v>
      </c>
      <c r="J48" s="58" t="str">
        <f t="shared" si="4"/>
        <v>High</v>
      </c>
      <c r="K48" s="96" t="s">
        <v>332</v>
      </c>
      <c r="L48" s="47" t="s">
        <v>169</v>
      </c>
      <c r="M48" s="58" t="str">
        <f t="shared" si="2"/>
        <v>Low</v>
      </c>
      <c r="N48" s="96"/>
      <c r="O48" s="97"/>
      <c r="P48" s="98"/>
      <c r="Q48" s="97"/>
      <c r="R48" s="65"/>
      <c r="S48" s="154" t="str">
        <f t="shared" si="0"/>
        <v/>
      </c>
      <c r="U48" s="151" t="s">
        <v>1185</v>
      </c>
      <c r="V48" s="96" t="s">
        <v>1186</v>
      </c>
    </row>
    <row r="49" spans="1:22" ht="29">
      <c r="A49" s="95" t="s">
        <v>333</v>
      </c>
      <c r="B49" s="95" t="s">
        <v>88</v>
      </c>
      <c r="C49" s="95" t="s">
        <v>334</v>
      </c>
      <c r="D49" s="304" t="s">
        <v>270</v>
      </c>
      <c r="E49" s="95" t="s">
        <v>335</v>
      </c>
      <c r="F49" s="47" t="s">
        <v>83</v>
      </c>
      <c r="G49" s="47" t="s">
        <v>161</v>
      </c>
      <c r="H49" s="58">
        <f>IF(F49='Risk Methedology Matrix'!B$26,5,IF(F49='Risk Methedology Matrix'!B$27,4,IF(F49='Risk Methedology Matrix'!B$28,3,IF(F49='Risk Methedology Matrix'!B$29,2,IF(F49='Risk Methedology Matrix'!B$30,1,0)))))</f>
        <v>4</v>
      </c>
      <c r="I49" s="58">
        <f>IF(G49='Risk Methedology Matrix'!G$25,5,IF(G49='Risk Methedology Matrix'!F$25,4,IF(G49='Risk Methedology Matrix'!E$25,3,IF(G49='Risk Methedology Matrix'!D$25,2,IF(G49='Risk Methedology Matrix'!C$25,1,0)))))</f>
        <v>2</v>
      </c>
      <c r="J49" s="58" t="str">
        <f t="shared" si="4"/>
        <v>Medium</v>
      </c>
      <c r="K49" s="96" t="s">
        <v>336</v>
      </c>
      <c r="L49" s="47" t="s">
        <v>85</v>
      </c>
      <c r="M49" s="58" t="str">
        <f t="shared" si="2"/>
        <v>Low</v>
      </c>
      <c r="N49" s="96"/>
      <c r="O49" s="97"/>
      <c r="P49" s="98"/>
      <c r="Q49" s="97"/>
      <c r="R49" s="65"/>
      <c r="S49" s="154" t="str">
        <f t="shared" si="0"/>
        <v/>
      </c>
      <c r="U49" s="151" t="s">
        <v>1187</v>
      </c>
      <c r="V49" s="152" t="s">
        <v>1188</v>
      </c>
    </row>
    <row r="50" spans="1:22" ht="29">
      <c r="A50" s="95" t="s">
        <v>337</v>
      </c>
      <c r="B50" s="95" t="s">
        <v>338</v>
      </c>
      <c r="C50" s="95" t="s">
        <v>339</v>
      </c>
      <c r="D50" s="304" t="s">
        <v>270</v>
      </c>
      <c r="E50" s="95" t="s">
        <v>340</v>
      </c>
      <c r="F50" s="47" t="s">
        <v>83</v>
      </c>
      <c r="G50" s="47" t="s">
        <v>161</v>
      </c>
      <c r="H50" s="58">
        <f>IF(F50='Risk Methedology Matrix'!B$26,5,IF(F50='Risk Methedology Matrix'!B$27,4,IF(F50='Risk Methedology Matrix'!B$28,3,IF(F50='Risk Methedology Matrix'!B$29,2,IF(F50='Risk Methedology Matrix'!B$30,1,0)))))</f>
        <v>4</v>
      </c>
      <c r="I50" s="58">
        <f>IF(G50='Risk Methedology Matrix'!G$25,5,IF(G50='Risk Methedology Matrix'!F$25,4,IF(G50='Risk Methedology Matrix'!E$25,3,IF(G50='Risk Methedology Matrix'!D$25,2,IF(G50='Risk Methedology Matrix'!C$25,1,0)))))</f>
        <v>2</v>
      </c>
      <c r="J50" s="58" t="str">
        <f t="shared" si="4"/>
        <v>Medium</v>
      </c>
      <c r="K50" s="96" t="s">
        <v>341</v>
      </c>
      <c r="L50" s="47" t="s">
        <v>85</v>
      </c>
      <c r="M50" s="58" t="str">
        <f t="shared" si="2"/>
        <v>Low</v>
      </c>
      <c r="N50" s="96"/>
      <c r="O50" s="97"/>
      <c r="P50" s="98"/>
      <c r="Q50" s="97"/>
      <c r="R50" s="65"/>
      <c r="S50" s="154" t="str">
        <f t="shared" si="0"/>
        <v/>
      </c>
      <c r="U50" s="151" t="s">
        <v>1189</v>
      </c>
      <c r="V50" s="152" t="s">
        <v>1190</v>
      </c>
    </row>
    <row r="51" spans="1:22" ht="25.5">
      <c r="A51" s="95" t="s">
        <v>342</v>
      </c>
      <c r="B51" s="95" t="s">
        <v>117</v>
      </c>
      <c r="C51" s="95" t="s">
        <v>343</v>
      </c>
      <c r="D51" s="304" t="s">
        <v>270</v>
      </c>
      <c r="E51" s="95" t="s">
        <v>344</v>
      </c>
      <c r="F51" s="47" t="s">
        <v>83</v>
      </c>
      <c r="G51" s="47" t="s">
        <v>84</v>
      </c>
      <c r="H51" s="58">
        <f>IF(F51='Risk Methedology Matrix'!B$26,5,IF(F51='Risk Methedology Matrix'!B$27,4,IF(F51='Risk Methedology Matrix'!B$28,3,IF(F51='Risk Methedology Matrix'!B$29,2,IF(F51='Risk Methedology Matrix'!B$30,1,0)))))</f>
        <v>4</v>
      </c>
      <c r="I51" s="58">
        <f>IF(G51='Risk Methedology Matrix'!G$25,5,IF(G51='Risk Methedology Matrix'!F$25,4,IF(G51='Risk Methedology Matrix'!E$25,3,IF(G51='Risk Methedology Matrix'!D$25,2,IF(G51='Risk Methedology Matrix'!C$25,1,0)))))</f>
        <v>4</v>
      </c>
      <c r="J51" s="58" t="str">
        <f t="shared" si="4"/>
        <v>High</v>
      </c>
      <c r="K51" s="96" t="s">
        <v>345</v>
      </c>
      <c r="L51" s="47" t="s">
        <v>169</v>
      </c>
      <c r="M51" s="58" t="str">
        <f t="shared" si="2"/>
        <v>Low</v>
      </c>
      <c r="N51" s="96"/>
      <c r="O51" s="97"/>
      <c r="P51" s="98"/>
      <c r="Q51" s="97"/>
      <c r="R51" s="65"/>
      <c r="S51" s="154" t="str">
        <f t="shared" si="0"/>
        <v/>
      </c>
      <c r="U51" s="151" t="s">
        <v>1185</v>
      </c>
      <c r="V51" s="96" t="s">
        <v>1186</v>
      </c>
    </row>
    <row r="52" spans="1:22" ht="13">
      <c r="A52" s="95" t="s">
        <v>346</v>
      </c>
      <c r="B52" s="95" t="s">
        <v>79</v>
      </c>
      <c r="C52" s="95" t="s">
        <v>347</v>
      </c>
      <c r="D52" s="304" t="s">
        <v>270</v>
      </c>
      <c r="E52" s="95" t="s">
        <v>348</v>
      </c>
      <c r="F52" s="47" t="s">
        <v>83</v>
      </c>
      <c r="G52" s="47" t="s">
        <v>84</v>
      </c>
      <c r="H52" s="58">
        <f>IF(F52='Risk Methedology Matrix'!B$26,5,IF(F52='Risk Methedology Matrix'!B$27,4,IF(F52='Risk Methedology Matrix'!B$28,3,IF(F52='Risk Methedology Matrix'!B$29,2,IF(F52='Risk Methedology Matrix'!B$30,1,0)))))</f>
        <v>4</v>
      </c>
      <c r="I52" s="58">
        <f>IF(G52='Risk Methedology Matrix'!G$25,5,IF(G52='Risk Methedology Matrix'!F$25,4,IF(G52='Risk Methedology Matrix'!E$25,3,IF(G52='Risk Methedology Matrix'!D$25,2,IF(G52='Risk Methedology Matrix'!C$25,1,0)))))</f>
        <v>4</v>
      </c>
      <c r="J52" s="58" t="str">
        <f t="shared" si="4"/>
        <v>High</v>
      </c>
      <c r="K52" s="96" t="s">
        <v>349</v>
      </c>
      <c r="L52" s="47" t="s">
        <v>169</v>
      </c>
      <c r="M52" s="58" t="str">
        <f t="shared" si="2"/>
        <v>Low</v>
      </c>
      <c r="N52" s="96"/>
      <c r="O52" s="98"/>
      <c r="P52" s="98"/>
      <c r="Q52" s="97"/>
      <c r="R52" s="65"/>
      <c r="S52" s="154" t="str">
        <f t="shared" si="0"/>
        <v/>
      </c>
      <c r="U52" s="151"/>
      <c r="V52" s="151"/>
    </row>
    <row r="53" spans="1:22" ht="12.5">
      <c r="A53" s="95" t="s">
        <v>350</v>
      </c>
      <c r="B53" s="95" t="s">
        <v>88</v>
      </c>
      <c r="C53" s="95" t="s">
        <v>351</v>
      </c>
      <c r="D53" s="304" t="s">
        <v>270</v>
      </c>
      <c r="E53" s="95" t="s">
        <v>352</v>
      </c>
      <c r="F53" s="47" t="s">
        <v>126</v>
      </c>
      <c r="G53" s="47" t="s">
        <v>161</v>
      </c>
      <c r="H53" s="58">
        <f>IF(F53='Risk Methedology Matrix'!B$26,5,IF(F53='Risk Methedology Matrix'!B$27,4,IF(F53='Risk Methedology Matrix'!B$28,3,IF(F53='Risk Methedology Matrix'!B$29,2,IF(F53='Risk Methedology Matrix'!B$30,1,0)))))</f>
        <v>2</v>
      </c>
      <c r="I53" s="58">
        <f>IF(G53='Risk Methedology Matrix'!G$25,5,IF(G53='Risk Methedology Matrix'!F$25,4,IF(G53='Risk Methedology Matrix'!E$25,3,IF(G53='Risk Methedology Matrix'!D$25,2,IF(G53='Risk Methedology Matrix'!C$25,1,0)))))</f>
        <v>2</v>
      </c>
      <c r="J53" s="58" t="str">
        <f t="shared" si="4"/>
        <v>Low</v>
      </c>
      <c r="K53" s="96" t="s">
        <v>353</v>
      </c>
      <c r="L53" s="47" t="s">
        <v>169</v>
      </c>
      <c r="M53" s="58" t="str">
        <f t="shared" si="2"/>
        <v>Very Low</v>
      </c>
      <c r="N53" s="96"/>
      <c r="O53" s="97"/>
      <c r="P53" s="97"/>
      <c r="Q53" s="97"/>
      <c r="R53" s="65"/>
      <c r="S53" s="154" t="str">
        <f t="shared" si="0"/>
        <v/>
      </c>
      <c r="U53" s="151"/>
      <c r="V53" s="151"/>
    </row>
    <row r="54" spans="1:22" ht="12.5">
      <c r="A54" s="95" t="s">
        <v>354</v>
      </c>
      <c r="B54" s="95" t="s">
        <v>355</v>
      </c>
      <c r="C54" s="95" t="s">
        <v>356</v>
      </c>
      <c r="D54" s="304" t="s">
        <v>270</v>
      </c>
      <c r="E54" s="95" t="s">
        <v>357</v>
      </c>
      <c r="F54" s="47" t="s">
        <v>83</v>
      </c>
      <c r="G54" s="47" t="s">
        <v>84</v>
      </c>
      <c r="H54" s="58">
        <f>IF(F54='Risk Methedology Matrix'!B$26,5,IF(F54='Risk Methedology Matrix'!B$27,4,IF(F54='Risk Methedology Matrix'!B$28,3,IF(F54='Risk Methedology Matrix'!B$29,2,IF(F54='Risk Methedology Matrix'!B$30,1,0)))))</f>
        <v>4</v>
      </c>
      <c r="I54" s="58">
        <f>IF(G54='Risk Methedology Matrix'!G$25,5,IF(G54='Risk Methedology Matrix'!F$25,4,IF(G54='Risk Methedology Matrix'!E$25,3,IF(G54='Risk Methedology Matrix'!D$25,2,IF(G54='Risk Methedology Matrix'!C$25,1,0)))))</f>
        <v>4</v>
      </c>
      <c r="J54" s="58" t="str">
        <f t="shared" si="4"/>
        <v>High</v>
      </c>
      <c r="K54" s="96" t="s">
        <v>358</v>
      </c>
      <c r="L54" s="47" t="s">
        <v>169</v>
      </c>
      <c r="M54" s="58" t="str">
        <f t="shared" si="2"/>
        <v>Low</v>
      </c>
      <c r="N54" s="96"/>
      <c r="O54" s="97"/>
      <c r="P54" s="97"/>
      <c r="Q54" s="97"/>
      <c r="R54" s="65"/>
      <c r="S54" s="154" t="str">
        <f t="shared" si="0"/>
        <v/>
      </c>
      <c r="U54" s="151"/>
      <c r="V54" s="151"/>
    </row>
    <row r="55" spans="1:22" ht="101.5">
      <c r="A55" s="95" t="s">
        <v>359</v>
      </c>
      <c r="B55" s="95" t="s">
        <v>88</v>
      </c>
      <c r="C55" s="95" t="s">
        <v>360</v>
      </c>
      <c r="D55" s="304" t="s">
        <v>270</v>
      </c>
      <c r="E55" s="95" t="s">
        <v>361</v>
      </c>
      <c r="F55" s="47" t="s">
        <v>83</v>
      </c>
      <c r="G55" s="47" t="s">
        <v>161</v>
      </c>
      <c r="H55" s="58">
        <f>IF(F55='Risk Methedology Matrix'!B$26,5,IF(F55='Risk Methedology Matrix'!B$27,4,IF(F55='Risk Methedology Matrix'!B$28,3,IF(F55='Risk Methedology Matrix'!B$29,2,IF(F55='Risk Methedology Matrix'!B$30,1,0)))))</f>
        <v>4</v>
      </c>
      <c r="I55" s="58">
        <f>IF(G55='Risk Methedology Matrix'!G$25,5,IF(G55='Risk Methedology Matrix'!F$25,4,IF(G55='Risk Methedology Matrix'!E$25,3,IF(G55='Risk Methedology Matrix'!D$25,2,IF(G55='Risk Methedology Matrix'!C$25,1,0)))))</f>
        <v>2</v>
      </c>
      <c r="J55" s="58" t="str">
        <f t="shared" si="4"/>
        <v>Medium</v>
      </c>
      <c r="K55" s="96" t="s">
        <v>362</v>
      </c>
      <c r="L55" s="47" t="s">
        <v>85</v>
      </c>
      <c r="M55" s="58" t="str">
        <f t="shared" si="2"/>
        <v>Low</v>
      </c>
      <c r="N55" s="96"/>
      <c r="O55" s="97"/>
      <c r="P55" s="98"/>
      <c r="Q55" s="97"/>
      <c r="R55" s="65"/>
      <c r="S55" s="154" t="str">
        <f t="shared" si="0"/>
        <v/>
      </c>
      <c r="U55" s="153" t="s">
        <v>1191</v>
      </c>
      <c r="V55" s="152" t="s">
        <v>1192</v>
      </c>
    </row>
    <row r="56" spans="1:22" ht="75">
      <c r="A56" s="95" t="s">
        <v>363</v>
      </c>
      <c r="B56" s="95" t="s">
        <v>338</v>
      </c>
      <c r="C56" s="95" t="s">
        <v>364</v>
      </c>
      <c r="D56" s="304" t="s">
        <v>270</v>
      </c>
      <c r="E56" s="95" t="s">
        <v>365</v>
      </c>
      <c r="F56" s="47" t="s">
        <v>83</v>
      </c>
      <c r="G56" s="47" t="s">
        <v>84</v>
      </c>
      <c r="H56" s="58">
        <f>IF(F56='Risk Methedology Matrix'!B$26,5,IF(F56='Risk Methedology Matrix'!B$27,4,IF(F56='Risk Methedology Matrix'!B$28,3,IF(F56='Risk Methedology Matrix'!B$29,2,IF(F56='Risk Methedology Matrix'!B$30,1,0)))))</f>
        <v>4</v>
      </c>
      <c r="I56" s="58">
        <f>IF(G56='Risk Methedology Matrix'!G$25,5,IF(G56='Risk Methedology Matrix'!F$25,4,IF(G56='Risk Methedology Matrix'!E$25,3,IF(G56='Risk Methedology Matrix'!D$25,2,IF(G56='Risk Methedology Matrix'!C$25,1,0)))))</f>
        <v>4</v>
      </c>
      <c r="J56" s="58" t="str">
        <f t="shared" si="4"/>
        <v>High</v>
      </c>
      <c r="K56" s="96" t="s">
        <v>366</v>
      </c>
      <c r="L56" s="47" t="s">
        <v>169</v>
      </c>
      <c r="M56" s="58" t="str">
        <f t="shared" si="2"/>
        <v>Low</v>
      </c>
      <c r="N56" s="96"/>
      <c r="O56" s="97"/>
      <c r="P56" s="97"/>
      <c r="Q56" s="97"/>
      <c r="R56" s="65"/>
      <c r="S56" s="154" t="str">
        <f t="shared" si="0"/>
        <v/>
      </c>
      <c r="U56" s="135"/>
      <c r="V56" s="151"/>
    </row>
    <row r="57" spans="1:22" ht="12.5">
      <c r="A57" s="95" t="s">
        <v>367</v>
      </c>
      <c r="B57" s="95" t="s">
        <v>88</v>
      </c>
      <c r="C57" s="95" t="s">
        <v>368</v>
      </c>
      <c r="D57" s="304" t="s">
        <v>270</v>
      </c>
      <c r="E57" s="95" t="s">
        <v>369</v>
      </c>
      <c r="F57" s="47" t="s">
        <v>114</v>
      </c>
      <c r="G57" s="47" t="s">
        <v>104</v>
      </c>
      <c r="H57" s="58">
        <f>IF(F57='Risk Methedology Matrix'!B$26,5,IF(F57='Risk Methedology Matrix'!B$27,4,IF(F57='Risk Methedology Matrix'!B$28,3,IF(F57='Risk Methedology Matrix'!B$29,2,IF(F57='Risk Methedology Matrix'!B$30,1,0)))))</f>
        <v>3</v>
      </c>
      <c r="I57" s="58">
        <f>IF(G57='Risk Methedology Matrix'!G$25,5,IF(G57='Risk Methedology Matrix'!F$25,4,IF(G57='Risk Methedology Matrix'!E$25,3,IF(G57='Risk Methedology Matrix'!D$25,2,IF(G57='Risk Methedology Matrix'!C$25,1,0)))))</f>
        <v>3</v>
      </c>
      <c r="J57" s="58" t="str">
        <f t="shared" si="4"/>
        <v>Medium</v>
      </c>
      <c r="K57" s="96" t="s">
        <v>370</v>
      </c>
      <c r="L57" s="47" t="s">
        <v>85</v>
      </c>
      <c r="M57" s="58" t="str">
        <f t="shared" si="2"/>
        <v>Low</v>
      </c>
      <c r="N57" s="96"/>
      <c r="O57" s="97"/>
      <c r="P57" s="97"/>
      <c r="Q57" s="97"/>
      <c r="R57" s="65"/>
      <c r="S57" s="154" t="str">
        <f t="shared" si="0"/>
        <v/>
      </c>
      <c r="U57" s="135"/>
      <c r="V57" s="151"/>
    </row>
    <row r="58" spans="1:22" ht="13">
      <c r="A58" s="95" t="s">
        <v>371</v>
      </c>
      <c r="B58" s="95" t="s">
        <v>372</v>
      </c>
      <c r="C58" s="95" t="s">
        <v>373</v>
      </c>
      <c r="D58" s="304" t="s">
        <v>270</v>
      </c>
      <c r="E58" s="95" t="s">
        <v>374</v>
      </c>
      <c r="F58" s="47" t="s">
        <v>83</v>
      </c>
      <c r="G58" s="47" t="s">
        <v>84</v>
      </c>
      <c r="H58" s="58">
        <f>IF(F58='Risk Methedology Matrix'!B$26,5,IF(F58='Risk Methedology Matrix'!B$27,4,IF(F58='Risk Methedology Matrix'!B$28,3,IF(F58='Risk Methedology Matrix'!B$29,2,IF(F58='Risk Methedology Matrix'!B$30,1,0)))))</f>
        <v>4</v>
      </c>
      <c r="I58" s="58">
        <f>IF(G58='Risk Methedology Matrix'!G$25,5,IF(G58='Risk Methedology Matrix'!F$25,4,IF(G58='Risk Methedology Matrix'!E$25,3,IF(G58='Risk Methedology Matrix'!D$25,2,IF(G58='Risk Methedology Matrix'!C$25,1,0)))))</f>
        <v>4</v>
      </c>
      <c r="J58" s="58" t="str">
        <f t="shared" si="4"/>
        <v>High</v>
      </c>
      <c r="K58" s="96" t="s">
        <v>375</v>
      </c>
      <c r="L58" s="47" t="s">
        <v>169</v>
      </c>
      <c r="M58" s="58" t="str">
        <f t="shared" si="2"/>
        <v>Low</v>
      </c>
      <c r="N58" s="96"/>
      <c r="O58" s="98"/>
      <c r="P58" s="99"/>
      <c r="Q58" s="97"/>
      <c r="R58" s="65"/>
      <c r="S58" s="154" t="str">
        <f t="shared" si="0"/>
        <v/>
      </c>
      <c r="U58" s="135"/>
      <c r="V58" s="151"/>
    </row>
    <row r="59" spans="1:22" ht="13">
      <c r="A59" s="95" t="s">
        <v>376</v>
      </c>
      <c r="B59" s="95" t="s">
        <v>88</v>
      </c>
      <c r="C59" s="95" t="s">
        <v>377</v>
      </c>
      <c r="D59" s="304" t="s">
        <v>270</v>
      </c>
      <c r="E59" s="95" t="s">
        <v>378</v>
      </c>
      <c r="F59" s="47" t="s">
        <v>114</v>
      </c>
      <c r="G59" s="47" t="s">
        <v>161</v>
      </c>
      <c r="H59" s="58">
        <f>IF(F59='Risk Methedology Matrix'!B$26,5,IF(F59='Risk Methedology Matrix'!B$27,4,IF(F59='Risk Methedology Matrix'!B$28,3,IF(F59='Risk Methedology Matrix'!B$29,2,IF(F59='Risk Methedology Matrix'!B$30,1,0)))))</f>
        <v>3</v>
      </c>
      <c r="I59" s="58">
        <f>IF(G59='Risk Methedology Matrix'!G$25,5,IF(G59='Risk Methedology Matrix'!F$25,4,IF(G59='Risk Methedology Matrix'!E$25,3,IF(G59='Risk Methedology Matrix'!D$25,2,IF(G59='Risk Methedology Matrix'!C$25,1,0)))))</f>
        <v>2</v>
      </c>
      <c r="J59" s="58" t="str">
        <f t="shared" si="4"/>
        <v>Medium</v>
      </c>
      <c r="K59" s="96" t="s">
        <v>379</v>
      </c>
      <c r="L59" s="47" t="s">
        <v>85</v>
      </c>
      <c r="M59" s="58" t="str">
        <f t="shared" si="2"/>
        <v>Low</v>
      </c>
      <c r="N59" s="96"/>
      <c r="O59" s="98"/>
      <c r="P59" s="99"/>
      <c r="Q59" s="97"/>
      <c r="R59" s="65"/>
      <c r="S59" s="154" t="str">
        <f t="shared" si="0"/>
        <v/>
      </c>
      <c r="U59" s="135"/>
      <c r="V59" s="151"/>
    </row>
    <row r="60" spans="1:22" ht="13">
      <c r="A60" s="95" t="s">
        <v>380</v>
      </c>
      <c r="B60" s="95" t="s">
        <v>372</v>
      </c>
      <c r="C60" s="95" t="s">
        <v>381</v>
      </c>
      <c r="D60" s="304" t="s">
        <v>270</v>
      </c>
      <c r="E60" s="95" t="s">
        <v>382</v>
      </c>
      <c r="F60" s="47" t="s">
        <v>83</v>
      </c>
      <c r="G60" s="47" t="s">
        <v>84</v>
      </c>
      <c r="H60" s="58">
        <f>IF(F60='Risk Methedology Matrix'!B$26,5,IF(F60='Risk Methedology Matrix'!B$27,4,IF(F60='Risk Methedology Matrix'!B$28,3,IF(F60='Risk Methedology Matrix'!B$29,2,IF(F60='Risk Methedology Matrix'!B$30,1,0)))))</f>
        <v>4</v>
      </c>
      <c r="I60" s="58">
        <f>IF(G60='Risk Methedology Matrix'!G$25,5,IF(G60='Risk Methedology Matrix'!F$25,4,IF(G60='Risk Methedology Matrix'!E$25,3,IF(G60='Risk Methedology Matrix'!D$25,2,IF(G60='Risk Methedology Matrix'!C$25,1,0)))))</f>
        <v>4</v>
      </c>
      <c r="J60" s="58" t="str">
        <f t="shared" si="4"/>
        <v>High</v>
      </c>
      <c r="K60" s="96" t="s">
        <v>383</v>
      </c>
      <c r="L60" s="47" t="s">
        <v>169</v>
      </c>
      <c r="M60" s="58" t="str">
        <f t="shared" si="2"/>
        <v>Low</v>
      </c>
      <c r="N60" s="96"/>
      <c r="O60" s="98"/>
      <c r="P60" s="99"/>
      <c r="Q60" s="97"/>
      <c r="R60" s="65"/>
      <c r="S60" s="154" t="str">
        <f t="shared" si="0"/>
        <v/>
      </c>
      <c r="U60" s="135"/>
      <c r="V60" s="151"/>
    </row>
    <row r="61" spans="1:22" ht="13">
      <c r="A61" s="95" t="s">
        <v>384</v>
      </c>
      <c r="B61" s="95" t="s">
        <v>79</v>
      </c>
      <c r="C61" s="95" t="s">
        <v>385</v>
      </c>
      <c r="D61" s="304" t="s">
        <v>270</v>
      </c>
      <c r="E61" s="95" t="s">
        <v>386</v>
      </c>
      <c r="F61" s="47" t="s">
        <v>83</v>
      </c>
      <c r="G61" s="47" t="s">
        <v>84</v>
      </c>
      <c r="H61" s="58">
        <f>IF(F61='Risk Methedology Matrix'!B$26,5,IF(F61='Risk Methedology Matrix'!B$27,4,IF(F61='Risk Methedology Matrix'!B$28,3,IF(F61='Risk Methedology Matrix'!B$29,2,IF(F61='Risk Methedology Matrix'!B$30,1,0)))))</f>
        <v>4</v>
      </c>
      <c r="I61" s="58">
        <f>IF(G61='Risk Methedology Matrix'!G$25,5,IF(G61='Risk Methedology Matrix'!F$25,4,IF(G61='Risk Methedology Matrix'!E$25,3,IF(G61='Risk Methedology Matrix'!D$25,2,IF(G61='Risk Methedology Matrix'!C$25,1,0)))))</f>
        <v>4</v>
      </c>
      <c r="J61" s="58" t="str">
        <f t="shared" si="4"/>
        <v>High</v>
      </c>
      <c r="K61" s="96" t="s">
        <v>387</v>
      </c>
      <c r="L61" s="47" t="s">
        <v>169</v>
      </c>
      <c r="M61" s="58" t="str">
        <f t="shared" si="2"/>
        <v>Low</v>
      </c>
      <c r="N61" s="96"/>
      <c r="O61" s="98"/>
      <c r="P61" s="99"/>
      <c r="Q61" s="97"/>
      <c r="R61" s="65"/>
      <c r="S61" s="154" t="str">
        <f t="shared" si="0"/>
        <v/>
      </c>
      <c r="U61" s="135"/>
      <c r="V61" s="151"/>
    </row>
    <row r="62" spans="1:22" ht="13">
      <c r="A62" s="95" t="s">
        <v>388</v>
      </c>
      <c r="B62" s="95" t="s">
        <v>88</v>
      </c>
      <c r="C62" s="95" t="s">
        <v>389</v>
      </c>
      <c r="D62" s="304" t="s">
        <v>270</v>
      </c>
      <c r="E62" s="95" t="s">
        <v>390</v>
      </c>
      <c r="F62" s="47" t="s">
        <v>83</v>
      </c>
      <c r="G62" s="47" t="s">
        <v>84</v>
      </c>
      <c r="H62" s="58">
        <f>IF(F62='Risk Methedology Matrix'!B$26,5,IF(F62='Risk Methedology Matrix'!B$27,4,IF(F62='Risk Methedology Matrix'!B$28,3,IF(F62='Risk Methedology Matrix'!B$29,2,IF(F62='Risk Methedology Matrix'!B$30,1,0)))))</f>
        <v>4</v>
      </c>
      <c r="I62" s="58">
        <f>IF(G62='Risk Methedology Matrix'!G$25,5,IF(G62='Risk Methedology Matrix'!F$25,4,IF(G62='Risk Methedology Matrix'!E$25,3,IF(G62='Risk Methedology Matrix'!D$25,2,IF(G62='Risk Methedology Matrix'!C$25,1,0)))))</f>
        <v>4</v>
      </c>
      <c r="J62" s="58" t="str">
        <f t="shared" si="4"/>
        <v>High</v>
      </c>
      <c r="K62" s="96" t="s">
        <v>391</v>
      </c>
      <c r="L62" s="47" t="s">
        <v>169</v>
      </c>
      <c r="M62" s="58" t="str">
        <f t="shared" si="2"/>
        <v>Low</v>
      </c>
      <c r="N62" s="96"/>
      <c r="O62" s="98"/>
      <c r="P62" s="99"/>
      <c r="Q62" s="97"/>
      <c r="R62" s="65"/>
      <c r="S62" s="154" t="str">
        <f t="shared" si="0"/>
        <v/>
      </c>
      <c r="U62" s="135"/>
      <c r="V62" s="151"/>
    </row>
    <row r="63" spans="1:22" ht="187.5">
      <c r="A63" s="95" t="s">
        <v>392</v>
      </c>
      <c r="B63" s="95" t="s">
        <v>88</v>
      </c>
      <c r="C63" s="95" t="s">
        <v>393</v>
      </c>
      <c r="D63" s="304" t="s">
        <v>270</v>
      </c>
      <c r="E63" s="95" t="s">
        <v>394</v>
      </c>
      <c r="F63" s="47" t="s">
        <v>114</v>
      </c>
      <c r="G63" s="47" t="s">
        <v>104</v>
      </c>
      <c r="H63" s="58">
        <f>IF(F63='Risk Methedology Matrix'!B$26,5,IF(F63='Risk Methedology Matrix'!B$27,4,IF(F63='Risk Methedology Matrix'!B$28,3,IF(F63='Risk Methedology Matrix'!B$29,2,IF(F63='Risk Methedology Matrix'!B$30,1,0)))))</f>
        <v>3</v>
      </c>
      <c r="I63" s="58">
        <f>IF(G63='Risk Methedology Matrix'!G$25,5,IF(G63='Risk Methedology Matrix'!F$25,4,IF(G63='Risk Methedology Matrix'!E$25,3,IF(G63='Risk Methedology Matrix'!D$25,2,IF(G63='Risk Methedology Matrix'!C$25,1,0)))))</f>
        <v>3</v>
      </c>
      <c r="J63" s="58" t="str">
        <f t="shared" si="4"/>
        <v>Medium</v>
      </c>
      <c r="K63" s="96" t="s">
        <v>395</v>
      </c>
      <c r="L63" s="47" t="s">
        <v>85</v>
      </c>
      <c r="M63" s="58" t="str">
        <f t="shared" si="2"/>
        <v>Low</v>
      </c>
      <c r="N63" s="96"/>
      <c r="O63" s="98"/>
      <c r="P63" s="99"/>
      <c r="Q63" s="97"/>
      <c r="R63" s="65"/>
      <c r="S63" s="154" t="str">
        <f t="shared" si="0"/>
        <v/>
      </c>
      <c r="U63" s="135"/>
      <c r="V63" s="151"/>
    </row>
    <row r="64" spans="1:22" ht="13">
      <c r="A64" s="95" t="s">
        <v>396</v>
      </c>
      <c r="B64" s="95" t="s">
        <v>372</v>
      </c>
      <c r="C64" s="95" t="s">
        <v>397</v>
      </c>
      <c r="D64" s="304" t="s">
        <v>270</v>
      </c>
      <c r="E64" s="95" t="s">
        <v>398</v>
      </c>
      <c r="F64" s="47" t="s">
        <v>83</v>
      </c>
      <c r="G64" s="47" t="s">
        <v>84</v>
      </c>
      <c r="H64" s="58">
        <f>IF(F64='Risk Methedology Matrix'!B$26,5,IF(F64='Risk Methedology Matrix'!B$27,4,IF(F64='Risk Methedology Matrix'!B$28,3,IF(F64='Risk Methedology Matrix'!B$29,2,IF(F64='Risk Methedology Matrix'!B$30,1,0)))))</f>
        <v>4</v>
      </c>
      <c r="I64" s="58">
        <f>IF(G64='Risk Methedology Matrix'!G$25,5,IF(G64='Risk Methedology Matrix'!F$25,4,IF(G64='Risk Methedology Matrix'!E$25,3,IF(G64='Risk Methedology Matrix'!D$25,2,IF(G64='Risk Methedology Matrix'!C$25,1,0)))))</f>
        <v>4</v>
      </c>
      <c r="J64" s="58" t="str">
        <f t="shared" si="4"/>
        <v>High</v>
      </c>
      <c r="K64" s="96" t="s">
        <v>399</v>
      </c>
      <c r="L64" s="47" t="s">
        <v>169</v>
      </c>
      <c r="M64" s="58" t="str">
        <f t="shared" si="2"/>
        <v>Low</v>
      </c>
      <c r="N64" s="96"/>
      <c r="O64" s="98"/>
      <c r="P64" s="99"/>
      <c r="Q64" s="97"/>
      <c r="R64" s="65"/>
      <c r="S64" s="154" t="str">
        <f t="shared" si="0"/>
        <v/>
      </c>
      <c r="U64" s="135"/>
      <c r="V64" s="151"/>
    </row>
    <row r="65" spans="1:22" ht="13">
      <c r="A65" s="95" t="s">
        <v>400</v>
      </c>
      <c r="B65" s="95" t="s">
        <v>372</v>
      </c>
      <c r="C65" s="95" t="s">
        <v>401</v>
      </c>
      <c r="D65" s="304" t="s">
        <v>270</v>
      </c>
      <c r="E65" s="95" t="s">
        <v>402</v>
      </c>
      <c r="F65" s="47" t="s">
        <v>83</v>
      </c>
      <c r="G65" s="47" t="s">
        <v>84</v>
      </c>
      <c r="H65" s="58">
        <f>IF(F65='Risk Methedology Matrix'!B$26,5,IF(F65='Risk Methedology Matrix'!B$27,4,IF(F65='Risk Methedology Matrix'!B$28,3,IF(F65='Risk Methedology Matrix'!B$29,2,IF(F65='Risk Methedology Matrix'!B$30,1,0)))))</f>
        <v>4</v>
      </c>
      <c r="I65" s="58">
        <f>IF(G65='Risk Methedology Matrix'!G$25,5,IF(G65='Risk Methedology Matrix'!F$25,4,IF(G65='Risk Methedology Matrix'!E$25,3,IF(G65='Risk Methedology Matrix'!D$25,2,IF(G65='Risk Methedology Matrix'!C$25,1,0)))))</f>
        <v>4</v>
      </c>
      <c r="J65" s="58" t="str">
        <f t="shared" si="4"/>
        <v>High</v>
      </c>
      <c r="K65" s="96" t="s">
        <v>403</v>
      </c>
      <c r="L65" s="47" t="s">
        <v>169</v>
      </c>
      <c r="M65" s="58" t="str">
        <f t="shared" si="2"/>
        <v>Low</v>
      </c>
      <c r="N65" s="96"/>
      <c r="O65" s="98"/>
      <c r="P65" s="99"/>
      <c r="Q65" s="97"/>
      <c r="R65" s="65"/>
      <c r="S65" s="154" t="str">
        <f t="shared" si="0"/>
        <v/>
      </c>
      <c r="U65" s="135"/>
      <c r="V65" s="151"/>
    </row>
    <row r="66" spans="1:22" ht="13">
      <c r="A66" s="95" t="s">
        <v>404</v>
      </c>
      <c r="B66" s="95" t="s">
        <v>88</v>
      </c>
      <c r="C66" s="95" t="s">
        <v>405</v>
      </c>
      <c r="D66" s="304" t="s">
        <v>270</v>
      </c>
      <c r="E66" s="95" t="s">
        <v>406</v>
      </c>
      <c r="F66" s="47" t="s">
        <v>83</v>
      </c>
      <c r="G66" s="47" t="s">
        <v>84</v>
      </c>
      <c r="H66" s="58">
        <f>IF(F66='Risk Methedology Matrix'!B$26,5,IF(F66='Risk Methedology Matrix'!B$27,4,IF(F66='Risk Methedology Matrix'!B$28,3,IF(F66='Risk Methedology Matrix'!B$29,2,IF(F66='Risk Methedology Matrix'!B$30,1,0)))))</f>
        <v>4</v>
      </c>
      <c r="I66" s="58">
        <f>IF(G66='Risk Methedology Matrix'!G$25,5,IF(G66='Risk Methedology Matrix'!F$25,4,IF(G66='Risk Methedology Matrix'!E$25,3,IF(G66='Risk Methedology Matrix'!D$25,2,IF(G66='Risk Methedology Matrix'!C$25,1,0)))))</f>
        <v>4</v>
      </c>
      <c r="J66" s="58" t="str">
        <f t="shared" si="4"/>
        <v>High</v>
      </c>
      <c r="K66" s="96" t="s">
        <v>407</v>
      </c>
      <c r="L66" s="47" t="s">
        <v>169</v>
      </c>
      <c r="M66" s="58" t="str">
        <f t="shared" si="2"/>
        <v>Low</v>
      </c>
      <c r="N66" s="96"/>
      <c r="O66" s="98"/>
      <c r="P66" s="99"/>
      <c r="Q66" s="97"/>
      <c r="R66" s="65"/>
      <c r="S66" s="154" t="str">
        <f t="shared" si="0"/>
        <v/>
      </c>
      <c r="U66" s="135" t="s">
        <v>1185</v>
      </c>
      <c r="V66" s="151" t="s">
        <v>1193</v>
      </c>
    </row>
    <row r="67" spans="1:22" ht="13">
      <c r="A67" s="95" t="s">
        <v>408</v>
      </c>
      <c r="B67" s="95" t="s">
        <v>372</v>
      </c>
      <c r="C67" s="95" t="s">
        <v>409</v>
      </c>
      <c r="D67" s="304" t="s">
        <v>270</v>
      </c>
      <c r="E67" s="95" t="s">
        <v>410</v>
      </c>
      <c r="F67" s="47" t="s">
        <v>83</v>
      </c>
      <c r="G67" s="47" t="s">
        <v>84</v>
      </c>
      <c r="H67" s="58">
        <f>IF(F67='Risk Methedology Matrix'!B$26,5,IF(F67='Risk Methedology Matrix'!B$27,4,IF(F67='Risk Methedology Matrix'!B$28,3,IF(F67='Risk Methedology Matrix'!B$29,2,IF(F67='Risk Methedology Matrix'!B$30,1,0)))))</f>
        <v>4</v>
      </c>
      <c r="I67" s="58">
        <f>IF(G67='Risk Methedology Matrix'!G$25,5,IF(G67='Risk Methedology Matrix'!F$25,4,IF(G67='Risk Methedology Matrix'!E$25,3,IF(G67='Risk Methedology Matrix'!D$25,2,IF(G67='Risk Methedology Matrix'!C$25,1,0)))))</f>
        <v>4</v>
      </c>
      <c r="J67" s="58" t="str">
        <f t="shared" si="4"/>
        <v>High</v>
      </c>
      <c r="K67" s="96" t="s">
        <v>411</v>
      </c>
      <c r="L67" s="47" t="s">
        <v>169</v>
      </c>
      <c r="M67" s="58" t="str">
        <f t="shared" si="2"/>
        <v>Low</v>
      </c>
      <c r="N67" s="96"/>
      <c r="O67" s="98"/>
      <c r="P67" s="99"/>
      <c r="Q67" s="97"/>
      <c r="R67" s="65"/>
      <c r="S67" s="154" t="str">
        <f t="shared" si="0"/>
        <v/>
      </c>
      <c r="U67" s="135"/>
      <c r="V67" s="151"/>
    </row>
    <row r="68" spans="1:22" ht="13">
      <c r="A68" s="95" t="s">
        <v>412</v>
      </c>
      <c r="B68" s="95" t="s">
        <v>372</v>
      </c>
      <c r="C68" s="95" t="s">
        <v>413</v>
      </c>
      <c r="D68" s="304" t="s">
        <v>270</v>
      </c>
      <c r="E68" s="95" t="s">
        <v>414</v>
      </c>
      <c r="F68" s="47" t="s">
        <v>83</v>
      </c>
      <c r="G68" s="47" t="s">
        <v>84</v>
      </c>
      <c r="H68" s="58">
        <f>IF(F68='Risk Methedology Matrix'!B$26,5,IF(F68='Risk Methedology Matrix'!B$27,4,IF(F68='Risk Methedology Matrix'!B$28,3,IF(F68='Risk Methedology Matrix'!B$29,2,IF(F68='Risk Methedology Matrix'!B$30,1,0)))))</f>
        <v>4</v>
      </c>
      <c r="I68" s="58">
        <f>IF(G68='Risk Methedology Matrix'!G$25,5,IF(G68='Risk Methedology Matrix'!F$25,4,IF(G68='Risk Methedology Matrix'!E$25,3,IF(G68='Risk Methedology Matrix'!D$25,2,IF(G68='Risk Methedology Matrix'!C$25,1,0)))))</f>
        <v>4</v>
      </c>
      <c r="J68" s="58" t="str">
        <f t="shared" si="4"/>
        <v>High</v>
      </c>
      <c r="K68" s="96" t="s">
        <v>415</v>
      </c>
      <c r="L68" s="47" t="s">
        <v>169</v>
      </c>
      <c r="M68" s="58" t="str">
        <f t="shared" si="2"/>
        <v>Low</v>
      </c>
      <c r="N68" s="96"/>
      <c r="O68" s="98"/>
      <c r="P68" s="99"/>
      <c r="Q68" s="97"/>
      <c r="R68" s="65"/>
      <c r="S68" s="154" t="str">
        <f t="shared" si="0"/>
        <v/>
      </c>
      <c r="U68" s="135"/>
      <c r="V68" s="151"/>
    </row>
    <row r="69" spans="1:22" ht="13">
      <c r="A69" s="95" t="s">
        <v>416</v>
      </c>
      <c r="B69" s="95" t="s">
        <v>88</v>
      </c>
      <c r="C69" s="95" t="s">
        <v>417</v>
      </c>
      <c r="D69" s="304" t="s">
        <v>270</v>
      </c>
      <c r="E69" s="95" t="s">
        <v>418</v>
      </c>
      <c r="F69" s="47" t="s">
        <v>83</v>
      </c>
      <c r="G69" s="47" t="s">
        <v>84</v>
      </c>
      <c r="H69" s="58">
        <f>IF(F69='Risk Methedology Matrix'!B$26,5,IF(F69='Risk Methedology Matrix'!B$27,4,IF(F69='Risk Methedology Matrix'!B$28,3,IF(F69='Risk Methedology Matrix'!B$29,2,IF(F69='Risk Methedology Matrix'!B$30,1,0)))))</f>
        <v>4</v>
      </c>
      <c r="I69" s="58">
        <f>IF(G69='Risk Methedology Matrix'!G$25,5,IF(G69='Risk Methedology Matrix'!F$25,4,IF(G69='Risk Methedology Matrix'!E$25,3,IF(G69='Risk Methedology Matrix'!D$25,2,IF(G69='Risk Methedology Matrix'!C$25,1,0)))))</f>
        <v>4</v>
      </c>
      <c r="J69" s="58" t="str">
        <f t="shared" si="4"/>
        <v>High</v>
      </c>
      <c r="K69" s="96" t="s">
        <v>419</v>
      </c>
      <c r="L69" s="47" t="s">
        <v>169</v>
      </c>
      <c r="M69" s="58" t="str">
        <f t="shared" si="2"/>
        <v>Low</v>
      </c>
      <c r="N69" s="96"/>
      <c r="O69" s="98"/>
      <c r="P69" s="99"/>
      <c r="Q69" s="97"/>
      <c r="R69" s="65"/>
      <c r="S69" s="154" t="str">
        <f t="shared" si="0"/>
        <v/>
      </c>
      <c r="U69" s="135"/>
      <c r="V69" s="151"/>
    </row>
    <row r="70" spans="1:22" ht="13">
      <c r="A70" s="95" t="s">
        <v>420</v>
      </c>
      <c r="B70" s="95" t="s">
        <v>372</v>
      </c>
      <c r="C70" s="95" t="s">
        <v>421</v>
      </c>
      <c r="D70" s="304" t="s">
        <v>270</v>
      </c>
      <c r="E70" s="95" t="s">
        <v>422</v>
      </c>
      <c r="F70" s="47" t="s">
        <v>83</v>
      </c>
      <c r="G70" s="47" t="s">
        <v>84</v>
      </c>
      <c r="H70" s="58">
        <f>IF(F70='Risk Methedology Matrix'!B$26,5,IF(F70='Risk Methedology Matrix'!B$27,4,IF(F70='Risk Methedology Matrix'!B$28,3,IF(F70='Risk Methedology Matrix'!B$29,2,IF(F70='Risk Methedology Matrix'!B$30,1,0)))))</f>
        <v>4</v>
      </c>
      <c r="I70" s="58">
        <f>IF(G70='Risk Methedology Matrix'!G$25,5,IF(G70='Risk Methedology Matrix'!F$25,4,IF(G70='Risk Methedology Matrix'!E$25,3,IF(G70='Risk Methedology Matrix'!D$25,2,IF(G70='Risk Methedology Matrix'!C$25,1,0)))))</f>
        <v>4</v>
      </c>
      <c r="J70" s="58" t="str">
        <f t="shared" si="4"/>
        <v>High</v>
      </c>
      <c r="K70" s="96" t="s">
        <v>423</v>
      </c>
      <c r="L70" s="47" t="s">
        <v>169</v>
      </c>
      <c r="M70" s="58" t="str">
        <f t="shared" si="2"/>
        <v>Low</v>
      </c>
      <c r="N70" s="96"/>
      <c r="O70" s="98"/>
      <c r="P70" s="99"/>
      <c r="Q70" s="97"/>
      <c r="R70" s="65"/>
      <c r="S70" s="154" t="str">
        <f t="shared" si="0"/>
        <v/>
      </c>
      <c r="U70" s="135"/>
      <c r="V70" s="151"/>
    </row>
    <row r="71" spans="1:22" ht="24">
      <c r="A71" s="95" t="s">
        <v>424</v>
      </c>
      <c r="B71" s="95" t="s">
        <v>338</v>
      </c>
      <c r="C71" s="95" t="s">
        <v>425</v>
      </c>
      <c r="D71" s="304" t="s">
        <v>270</v>
      </c>
      <c r="E71" s="95" t="s">
        <v>426</v>
      </c>
      <c r="F71" s="47" t="s">
        <v>83</v>
      </c>
      <c r="G71" s="47" t="s">
        <v>161</v>
      </c>
      <c r="H71" s="58">
        <f>IF(F71='Risk Methedology Matrix'!B$26,5,IF(F71='Risk Methedology Matrix'!B$27,4,IF(F71='Risk Methedology Matrix'!B$28,3,IF(F71='Risk Methedology Matrix'!B$29,2,IF(F71='Risk Methedology Matrix'!B$30,1,0)))))</f>
        <v>4</v>
      </c>
      <c r="I71" s="58">
        <f>IF(G71='Risk Methedology Matrix'!G$25,5,IF(G71='Risk Methedology Matrix'!F$25,4,IF(G71='Risk Methedology Matrix'!E$25,3,IF(G71='Risk Methedology Matrix'!D$25,2,IF(G71='Risk Methedology Matrix'!C$25,1,0)))))</f>
        <v>2</v>
      </c>
      <c r="J71" s="58" t="str">
        <f t="shared" si="4"/>
        <v>Medium</v>
      </c>
      <c r="K71" s="96" t="s">
        <v>427</v>
      </c>
      <c r="L71" s="47" t="s">
        <v>85</v>
      </c>
      <c r="M71" s="58" t="str">
        <f t="shared" si="2"/>
        <v>Low</v>
      </c>
      <c r="N71" s="96"/>
      <c r="O71" s="98"/>
      <c r="P71" s="99"/>
      <c r="Q71" s="97"/>
      <c r="R71" s="65"/>
      <c r="S71" s="154" t="str">
        <f t="shared" si="0"/>
        <v/>
      </c>
      <c r="U71" s="135" t="s">
        <v>1187</v>
      </c>
      <c r="V71" s="151" t="s">
        <v>1194</v>
      </c>
    </row>
    <row r="72" spans="1:22" ht="13">
      <c r="A72" s="95" t="s">
        <v>428</v>
      </c>
      <c r="B72" s="95" t="s">
        <v>88</v>
      </c>
      <c r="C72" s="95" t="s">
        <v>429</v>
      </c>
      <c r="D72" s="304" t="s">
        <v>270</v>
      </c>
      <c r="E72" s="95" t="s">
        <v>430</v>
      </c>
      <c r="F72" s="47" t="s">
        <v>83</v>
      </c>
      <c r="G72" s="47" t="s">
        <v>84</v>
      </c>
      <c r="H72" s="58">
        <f>IF(F72='Risk Methedology Matrix'!B$26,5,IF(F72='Risk Methedology Matrix'!B$27,4,IF(F72='Risk Methedology Matrix'!B$28,3,IF(F72='Risk Methedology Matrix'!B$29,2,IF(F72='Risk Methedology Matrix'!B$30,1,0)))))</f>
        <v>4</v>
      </c>
      <c r="I72" s="58">
        <f>IF(G72='Risk Methedology Matrix'!G$25,5,IF(G72='Risk Methedology Matrix'!F$25,4,IF(G72='Risk Methedology Matrix'!E$25,3,IF(G72='Risk Methedology Matrix'!D$25,2,IF(G72='Risk Methedology Matrix'!C$25,1,0)))))</f>
        <v>4</v>
      </c>
      <c r="J72" s="58" t="str">
        <f t="shared" si="4"/>
        <v>High</v>
      </c>
      <c r="K72" s="96" t="s">
        <v>431</v>
      </c>
      <c r="L72" s="47" t="s">
        <v>169</v>
      </c>
      <c r="M72" s="58" t="str">
        <f t="shared" si="2"/>
        <v>Low</v>
      </c>
      <c r="N72" s="96"/>
      <c r="O72" s="98"/>
      <c r="P72" s="99"/>
      <c r="Q72" s="97"/>
      <c r="R72" s="65"/>
      <c r="S72" s="154" t="str">
        <f t="shared" si="0"/>
        <v/>
      </c>
      <c r="U72" s="135"/>
      <c r="V72" s="151"/>
    </row>
    <row r="73" spans="1:22" ht="13">
      <c r="A73" s="95" t="s">
        <v>432</v>
      </c>
      <c r="B73" s="95" t="s">
        <v>88</v>
      </c>
      <c r="C73" s="95" t="s">
        <v>433</v>
      </c>
      <c r="D73" s="304" t="s">
        <v>270</v>
      </c>
      <c r="E73" s="95" t="s">
        <v>434</v>
      </c>
      <c r="F73" s="47" t="s">
        <v>83</v>
      </c>
      <c r="G73" s="47" t="s">
        <v>84</v>
      </c>
      <c r="H73" s="58">
        <f>IF(F73='Risk Methedology Matrix'!B$26,5,IF(F73='Risk Methedology Matrix'!B$27,4,IF(F73='Risk Methedology Matrix'!B$28,3,IF(F73='Risk Methedology Matrix'!B$29,2,IF(F73='Risk Methedology Matrix'!B$30,1,0)))))</f>
        <v>4</v>
      </c>
      <c r="I73" s="58">
        <f>IF(G73='Risk Methedology Matrix'!G$25,5,IF(G73='Risk Methedology Matrix'!F$25,4,IF(G73='Risk Methedology Matrix'!E$25,3,IF(G73='Risk Methedology Matrix'!D$25,2,IF(G73='Risk Methedology Matrix'!C$25,1,0)))))</f>
        <v>4</v>
      </c>
      <c r="J73" s="58" t="str">
        <f t="shared" si="4"/>
        <v>High</v>
      </c>
      <c r="K73" s="96" t="s">
        <v>435</v>
      </c>
      <c r="L73" s="47" t="s">
        <v>169</v>
      </c>
      <c r="M73" s="58" t="str">
        <f t="shared" si="2"/>
        <v>Low</v>
      </c>
      <c r="N73" s="96"/>
      <c r="O73" s="98"/>
      <c r="P73" s="99"/>
      <c r="Q73" s="97"/>
      <c r="R73" s="65"/>
      <c r="S73" s="154" t="str">
        <f t="shared" si="0"/>
        <v/>
      </c>
      <c r="U73" s="135"/>
      <c r="V73" s="151"/>
    </row>
    <row r="74" spans="1:22" ht="13">
      <c r="A74" s="95" t="s">
        <v>436</v>
      </c>
      <c r="B74" s="95" t="s">
        <v>88</v>
      </c>
      <c r="C74" s="95" t="s">
        <v>437</v>
      </c>
      <c r="D74" s="304" t="s">
        <v>270</v>
      </c>
      <c r="E74" s="95" t="s">
        <v>438</v>
      </c>
      <c r="F74" s="47" t="s">
        <v>83</v>
      </c>
      <c r="G74" s="47" t="s">
        <v>84</v>
      </c>
      <c r="H74" s="58">
        <f>IF(F74='Risk Methedology Matrix'!B$26,5,IF(F74='Risk Methedology Matrix'!B$27,4,IF(F74='Risk Methedology Matrix'!B$28,3,IF(F74='Risk Methedology Matrix'!B$29,2,IF(F74='Risk Methedology Matrix'!B$30,1,0)))))</f>
        <v>4</v>
      </c>
      <c r="I74" s="58">
        <f>IF(G74='Risk Methedology Matrix'!G$25,5,IF(G74='Risk Methedology Matrix'!F$25,4,IF(G74='Risk Methedology Matrix'!E$25,3,IF(G74='Risk Methedology Matrix'!D$25,2,IF(G74='Risk Methedology Matrix'!C$25,1,0)))))</f>
        <v>4</v>
      </c>
      <c r="J74" s="58" t="str">
        <f t="shared" si="4"/>
        <v>High</v>
      </c>
      <c r="K74" s="96" t="s">
        <v>439</v>
      </c>
      <c r="L74" s="47" t="s">
        <v>169</v>
      </c>
      <c r="M74" s="58" t="str">
        <f t="shared" si="2"/>
        <v>Low</v>
      </c>
      <c r="N74" s="96"/>
      <c r="O74" s="98"/>
      <c r="P74" s="99"/>
      <c r="Q74" s="97"/>
      <c r="R74" s="65"/>
      <c r="S74" s="154" t="str">
        <f t="shared" si="0"/>
        <v/>
      </c>
      <c r="U74" s="135"/>
      <c r="V74" s="151"/>
    </row>
    <row r="75" spans="1:22" ht="13">
      <c r="A75" s="95" t="s">
        <v>440</v>
      </c>
      <c r="B75" s="95" t="s">
        <v>372</v>
      </c>
      <c r="C75" s="95" t="s">
        <v>441</v>
      </c>
      <c r="D75" s="304" t="s">
        <v>270</v>
      </c>
      <c r="E75" s="95" t="s">
        <v>442</v>
      </c>
      <c r="F75" s="47" t="s">
        <v>114</v>
      </c>
      <c r="G75" s="47" t="s">
        <v>104</v>
      </c>
      <c r="H75" s="58">
        <f>IF(F75='Risk Methedology Matrix'!B$26,5,IF(F75='Risk Methedology Matrix'!B$27,4,IF(F75='Risk Methedology Matrix'!B$28,3,IF(F75='Risk Methedology Matrix'!B$29,2,IF(F75='Risk Methedology Matrix'!B$30,1,0)))))</f>
        <v>3</v>
      </c>
      <c r="I75" s="58">
        <f>IF(G75='Risk Methedology Matrix'!G$25,5,IF(G75='Risk Methedology Matrix'!F$25,4,IF(G75='Risk Methedology Matrix'!E$25,3,IF(G75='Risk Methedology Matrix'!D$25,2,IF(G75='Risk Methedology Matrix'!C$25,1,0)))))</f>
        <v>3</v>
      </c>
      <c r="J75" s="58" t="str">
        <f t="shared" si="4"/>
        <v>Medium</v>
      </c>
      <c r="K75" s="96" t="s">
        <v>443</v>
      </c>
      <c r="L75" s="47" t="s">
        <v>85</v>
      </c>
      <c r="M75" s="58" t="str">
        <f t="shared" si="2"/>
        <v>Low</v>
      </c>
      <c r="N75" s="96"/>
      <c r="O75" s="98"/>
      <c r="P75" s="99"/>
      <c r="Q75" s="97"/>
      <c r="R75" s="65"/>
      <c r="S75" s="154" t="str">
        <f t="shared" si="0"/>
        <v/>
      </c>
      <c r="U75" s="135"/>
      <c r="V75" s="151"/>
    </row>
    <row r="76" spans="1:22" ht="13">
      <c r="A76" s="95" t="s">
        <v>444</v>
      </c>
      <c r="B76" s="95" t="s">
        <v>88</v>
      </c>
      <c r="C76" s="95" t="s">
        <v>445</v>
      </c>
      <c r="D76" s="304" t="s">
        <v>270</v>
      </c>
      <c r="E76" s="95" t="s">
        <v>446</v>
      </c>
      <c r="F76" s="47" t="s">
        <v>114</v>
      </c>
      <c r="G76" s="47" t="s">
        <v>104</v>
      </c>
      <c r="H76" s="58">
        <f>IF(F76='Risk Methedology Matrix'!B$26,5,IF(F76='Risk Methedology Matrix'!B$27,4,IF(F76='Risk Methedology Matrix'!B$28,3,IF(F76='Risk Methedology Matrix'!B$29,2,IF(F76='Risk Methedology Matrix'!B$30,1,0)))))</f>
        <v>3</v>
      </c>
      <c r="I76" s="58">
        <f>IF(G76='Risk Methedology Matrix'!G$25,5,IF(G76='Risk Methedology Matrix'!F$25,4,IF(G76='Risk Methedology Matrix'!E$25,3,IF(G76='Risk Methedology Matrix'!D$25,2,IF(G76='Risk Methedology Matrix'!C$25,1,0)))))</f>
        <v>3</v>
      </c>
      <c r="J76" s="58" t="str">
        <f t="shared" si="4"/>
        <v>Medium</v>
      </c>
      <c r="K76" s="96" t="s">
        <v>447</v>
      </c>
      <c r="L76" s="47" t="s">
        <v>85</v>
      </c>
      <c r="M76" s="58" t="str">
        <f t="shared" si="2"/>
        <v>Low</v>
      </c>
      <c r="N76" s="96"/>
      <c r="O76" s="98"/>
      <c r="P76" s="99"/>
      <c r="Q76" s="97"/>
      <c r="R76" s="65"/>
      <c r="S76" s="154" t="str">
        <f t="shared" si="0"/>
        <v/>
      </c>
      <c r="U76" s="135"/>
      <c r="V76" s="151"/>
    </row>
    <row r="77" spans="1:22" ht="13">
      <c r="A77" s="95" t="s">
        <v>448</v>
      </c>
      <c r="B77" s="95" t="s">
        <v>88</v>
      </c>
      <c r="C77" s="95" t="s">
        <v>449</v>
      </c>
      <c r="D77" s="304" t="s">
        <v>270</v>
      </c>
      <c r="E77" s="95" t="s">
        <v>450</v>
      </c>
      <c r="F77" s="47" t="s">
        <v>114</v>
      </c>
      <c r="G77" s="47" t="s">
        <v>104</v>
      </c>
      <c r="H77" s="58">
        <f>IF(F77='Risk Methedology Matrix'!B$26,5,IF(F77='Risk Methedology Matrix'!B$27,4,IF(F77='Risk Methedology Matrix'!B$28,3,IF(F77='Risk Methedology Matrix'!B$29,2,IF(F77='Risk Methedology Matrix'!B$30,1,0)))))</f>
        <v>3</v>
      </c>
      <c r="I77" s="58">
        <f>IF(G77='Risk Methedology Matrix'!G$25,5,IF(G77='Risk Methedology Matrix'!F$25,4,IF(G77='Risk Methedology Matrix'!E$25,3,IF(G77='Risk Methedology Matrix'!D$25,2,IF(G77='Risk Methedology Matrix'!C$25,1,0)))))</f>
        <v>3</v>
      </c>
      <c r="J77" s="58" t="str">
        <f t="shared" si="4"/>
        <v>Medium</v>
      </c>
      <c r="K77" s="96" t="s">
        <v>451</v>
      </c>
      <c r="L77" s="47" t="s">
        <v>85</v>
      </c>
      <c r="M77" s="58" t="str">
        <f t="shared" si="2"/>
        <v>Low</v>
      </c>
      <c r="N77" s="96"/>
      <c r="O77" s="98"/>
      <c r="P77" s="99"/>
      <c r="Q77" s="97"/>
      <c r="R77" s="65"/>
      <c r="S77" s="154" t="str">
        <f t="shared" si="0"/>
        <v/>
      </c>
      <c r="U77" s="135"/>
      <c r="V77" s="151"/>
    </row>
    <row r="78" spans="1:22" ht="13">
      <c r="A78" s="95" t="s">
        <v>452</v>
      </c>
      <c r="B78" s="95" t="s">
        <v>453</v>
      </c>
      <c r="C78" s="95" t="s">
        <v>454</v>
      </c>
      <c r="D78" s="304" t="s">
        <v>270</v>
      </c>
      <c r="E78" s="95" t="s">
        <v>455</v>
      </c>
      <c r="F78" s="47" t="s">
        <v>114</v>
      </c>
      <c r="G78" s="47" t="s">
        <v>104</v>
      </c>
      <c r="H78" s="58">
        <f>IF(F78='Risk Methedology Matrix'!B$26,5,IF(F78='Risk Methedology Matrix'!B$27,4,IF(F78='Risk Methedology Matrix'!B$28,3,IF(F78='Risk Methedology Matrix'!B$29,2,IF(F78='Risk Methedology Matrix'!B$30,1,0)))))</f>
        <v>3</v>
      </c>
      <c r="I78" s="58">
        <f>IF(G78='Risk Methedology Matrix'!G$25,5,IF(G78='Risk Methedology Matrix'!F$25,4,IF(G78='Risk Methedology Matrix'!E$25,3,IF(G78='Risk Methedology Matrix'!D$25,2,IF(G78='Risk Methedology Matrix'!C$25,1,0)))))</f>
        <v>3</v>
      </c>
      <c r="J78" s="58" t="str">
        <f t="shared" si="4"/>
        <v>Medium</v>
      </c>
      <c r="K78" s="96" t="s">
        <v>456</v>
      </c>
      <c r="L78" s="47" t="s">
        <v>85</v>
      </c>
      <c r="M78" s="58" t="str">
        <f t="shared" si="2"/>
        <v>Low</v>
      </c>
      <c r="N78" s="96"/>
      <c r="O78" s="98"/>
      <c r="P78" s="99"/>
      <c r="Q78" s="97"/>
      <c r="R78" s="65"/>
      <c r="S78" s="154" t="str">
        <f t="shared" si="0"/>
        <v/>
      </c>
      <c r="U78" s="135"/>
      <c r="V78" s="151"/>
    </row>
    <row r="79" spans="1:22" ht="13">
      <c r="A79" s="95" t="s">
        <v>457</v>
      </c>
      <c r="B79" s="95" t="s">
        <v>372</v>
      </c>
      <c r="C79" s="95" t="s">
        <v>458</v>
      </c>
      <c r="D79" s="304" t="s">
        <v>270</v>
      </c>
      <c r="E79" s="95" t="s">
        <v>459</v>
      </c>
      <c r="F79" s="47" t="s">
        <v>83</v>
      </c>
      <c r="G79" s="47" t="s">
        <v>84</v>
      </c>
      <c r="H79" s="58">
        <f>IF(F79='Risk Methedology Matrix'!B$26,5,IF(F79='Risk Methedology Matrix'!B$27,4,IF(F79='Risk Methedology Matrix'!B$28,3,IF(F79='Risk Methedology Matrix'!B$29,2,IF(F79='Risk Methedology Matrix'!B$30,1,0)))))</f>
        <v>4</v>
      </c>
      <c r="I79" s="58">
        <f>IF(G79='Risk Methedology Matrix'!G$25,5,IF(G79='Risk Methedology Matrix'!F$25,4,IF(G79='Risk Methedology Matrix'!E$25,3,IF(G79='Risk Methedology Matrix'!D$25,2,IF(G79='Risk Methedology Matrix'!C$25,1,0)))))</f>
        <v>4</v>
      </c>
      <c r="J79" s="58" t="str">
        <f t="shared" si="4"/>
        <v>High</v>
      </c>
      <c r="K79" s="96" t="s">
        <v>460</v>
      </c>
      <c r="L79" s="47" t="s">
        <v>169</v>
      </c>
      <c r="M79" s="58" t="str">
        <f t="shared" si="2"/>
        <v>Low</v>
      </c>
      <c r="N79" s="96"/>
      <c r="O79" s="98"/>
      <c r="P79" s="99"/>
      <c r="Q79" s="97"/>
      <c r="R79" s="65"/>
      <c r="S79" s="154" t="str">
        <f t="shared" si="0"/>
        <v/>
      </c>
      <c r="U79" s="135"/>
      <c r="V79" s="151"/>
    </row>
    <row r="80" spans="1:22" ht="13">
      <c r="A80" s="95" t="s">
        <v>461</v>
      </c>
      <c r="B80" s="95" t="s">
        <v>88</v>
      </c>
      <c r="C80" s="95" t="s">
        <v>462</v>
      </c>
      <c r="D80" s="304" t="s">
        <v>270</v>
      </c>
      <c r="E80" s="95" t="s">
        <v>463</v>
      </c>
      <c r="F80" s="47" t="s">
        <v>83</v>
      </c>
      <c r="G80" s="47" t="s">
        <v>84</v>
      </c>
      <c r="H80" s="58">
        <f>IF(F80='Risk Methedology Matrix'!B$26,5,IF(F80='Risk Methedology Matrix'!B$27,4,IF(F80='Risk Methedology Matrix'!B$28,3,IF(F80='Risk Methedology Matrix'!B$29,2,IF(F80='Risk Methedology Matrix'!B$30,1,0)))))</f>
        <v>4</v>
      </c>
      <c r="I80" s="58">
        <f>IF(G80='Risk Methedology Matrix'!G$25,5,IF(G80='Risk Methedology Matrix'!F$25,4,IF(G80='Risk Methedology Matrix'!E$25,3,IF(G80='Risk Methedology Matrix'!D$25,2,IF(G80='Risk Methedology Matrix'!C$25,1,0)))))</f>
        <v>4</v>
      </c>
      <c r="J80" s="58" t="str">
        <f t="shared" si="4"/>
        <v>High</v>
      </c>
      <c r="K80" s="96" t="s">
        <v>464</v>
      </c>
      <c r="L80" s="47" t="s">
        <v>169</v>
      </c>
      <c r="M80" s="58" t="str">
        <f t="shared" si="2"/>
        <v>Low</v>
      </c>
      <c r="N80" s="96"/>
      <c r="O80" s="98"/>
      <c r="P80" s="99"/>
      <c r="Q80" s="97"/>
      <c r="R80" s="65"/>
      <c r="S80" s="154" t="str">
        <f t="shared" ref="S80:S143" si="5">IF(OR(L80="",R80=""),"",IF(AND(L80="Very High",R80="Excellent"),"Low",IF(AND(L80="Very High",R80="Good"),"Medium",IF(AND(L80="Very High",R80="Fair"),"High",IF(AND(L80="Very High",R80="Poor"),"Very High",IF(AND(L80="Very High",R80="Unsatisfactory"),"Very High",IF(AND(L80="High",R80="Excellent"),"Low",IF(AND(L80="High",R80="Good"),"Low",IF(AND(L80="High",R80="Fair"),"Medium",IF(AND(L80="High",R80="Poor"),"High",IF(AND(L80="High",R80="Unsatisfactory"),"High",IF(AND(L80="Medium",R80="Excellent"),"Low",IF(AND(L80="Medium",R80="Good"),"Low",IF(AND(L80="Medium",R80="Fair"),"Low",IF(AND(L80="Medium",R80="Poor"),"Medium",IF(AND(L80="Medium",R80="Unsatisfactory"),"Medium",IF(AND(L80="Low",R80="Excellent"),"Very Low",IF(AND(L80="Low",R80="Good"),"Low",IF(AND(L80="Low",R80="Fair"),"Low",IF(AND(L80="Low",R80="Poor"),"Low",IF(AND(L80="Low",R80="Unsatisfactory"),"Low",IF(AND(L80="Very Low",R80="Excellent"),"Very Low",IF(AND(L80="Very Low",R80="Good"),"Very Low",IF(AND(L80="Very Low",R80="Fair"),"Very Low",IF(AND(L80="Very Low",R80="Poor"),"Very Low",IF(AND(L80="Very Low",R80="Unsatisfactory"),"Very Low","Low"))))))))))))))))))))))))))</f>
        <v/>
      </c>
      <c r="U80" s="135"/>
      <c r="V80" s="151"/>
    </row>
    <row r="81" spans="1:22" ht="13">
      <c r="A81" s="95" t="s">
        <v>465</v>
      </c>
      <c r="B81" s="95" t="s">
        <v>372</v>
      </c>
      <c r="C81" s="95" t="s">
        <v>466</v>
      </c>
      <c r="D81" s="304" t="s">
        <v>270</v>
      </c>
      <c r="E81" s="95" t="s">
        <v>467</v>
      </c>
      <c r="F81" s="47" t="s">
        <v>114</v>
      </c>
      <c r="G81" s="47" t="s">
        <v>104</v>
      </c>
      <c r="H81" s="58">
        <f>IF(F81='Risk Methedology Matrix'!B$26,5,IF(F81='Risk Methedology Matrix'!B$27,4,IF(F81='Risk Methedology Matrix'!B$28,3,IF(F81='Risk Methedology Matrix'!B$29,2,IF(F81='Risk Methedology Matrix'!B$30,1,0)))))</f>
        <v>3</v>
      </c>
      <c r="I81" s="58">
        <f>IF(G81='Risk Methedology Matrix'!G$25,5,IF(G81='Risk Methedology Matrix'!F$25,4,IF(G81='Risk Methedology Matrix'!E$25,3,IF(G81='Risk Methedology Matrix'!D$25,2,IF(G81='Risk Methedology Matrix'!C$25,1,0)))))</f>
        <v>3</v>
      </c>
      <c r="J81" s="58" t="str">
        <f t="shared" si="4"/>
        <v>Medium</v>
      </c>
      <c r="K81" s="96" t="s">
        <v>468</v>
      </c>
      <c r="L81" s="47" t="s">
        <v>85</v>
      </c>
      <c r="M81" s="58" t="str">
        <f t="shared" si="2"/>
        <v>Low</v>
      </c>
      <c r="N81" s="96"/>
      <c r="O81" s="98"/>
      <c r="P81" s="99"/>
      <c r="Q81" s="97"/>
      <c r="R81" s="65"/>
      <c r="S81" s="154" t="str">
        <f t="shared" si="5"/>
        <v/>
      </c>
      <c r="U81" s="135"/>
      <c r="V81" s="151"/>
    </row>
    <row r="82" spans="1:22" ht="13">
      <c r="A82" s="95" t="s">
        <v>469</v>
      </c>
      <c r="B82" s="95" t="s">
        <v>88</v>
      </c>
      <c r="C82" s="95" t="s">
        <v>470</v>
      </c>
      <c r="D82" s="304" t="s">
        <v>270</v>
      </c>
      <c r="E82" s="95" t="s">
        <v>471</v>
      </c>
      <c r="F82" s="47" t="s">
        <v>83</v>
      </c>
      <c r="G82" s="47" t="s">
        <v>84</v>
      </c>
      <c r="H82" s="58">
        <f>IF(F82='Risk Methedology Matrix'!B$26,5,IF(F82='Risk Methedology Matrix'!B$27,4,IF(F82='Risk Methedology Matrix'!B$28,3,IF(F82='Risk Methedology Matrix'!B$29,2,IF(F82='Risk Methedology Matrix'!B$30,1,0)))))</f>
        <v>4</v>
      </c>
      <c r="I82" s="58">
        <f>IF(G82='Risk Methedology Matrix'!G$25,5,IF(G82='Risk Methedology Matrix'!F$25,4,IF(G82='Risk Methedology Matrix'!E$25,3,IF(G82='Risk Methedology Matrix'!D$25,2,IF(G82='Risk Methedology Matrix'!C$25,1,0)))))</f>
        <v>4</v>
      </c>
      <c r="J82" s="58" t="str">
        <f t="shared" si="4"/>
        <v>High</v>
      </c>
      <c r="K82" s="96" t="s">
        <v>472</v>
      </c>
      <c r="L82" s="47" t="s">
        <v>169</v>
      </c>
      <c r="M82" s="58" t="str">
        <f t="shared" si="2"/>
        <v>Low</v>
      </c>
      <c r="N82" s="96"/>
      <c r="O82" s="98"/>
      <c r="P82" s="99"/>
      <c r="Q82" s="97"/>
      <c r="R82" s="65"/>
      <c r="S82" s="154" t="str">
        <f t="shared" si="5"/>
        <v/>
      </c>
      <c r="U82" s="135"/>
      <c r="V82" s="151"/>
    </row>
    <row r="83" spans="1:22" ht="13">
      <c r="A83" s="95" t="s">
        <v>473</v>
      </c>
      <c r="B83" s="95" t="s">
        <v>372</v>
      </c>
      <c r="C83" s="95" t="s">
        <v>474</v>
      </c>
      <c r="D83" s="304" t="s">
        <v>270</v>
      </c>
      <c r="E83" s="95" t="s">
        <v>475</v>
      </c>
      <c r="F83" s="47" t="s">
        <v>83</v>
      </c>
      <c r="G83" s="47" t="s">
        <v>84</v>
      </c>
      <c r="H83" s="58">
        <f>IF(F83='Risk Methedology Matrix'!B$26,5,IF(F83='Risk Methedology Matrix'!B$27,4,IF(F83='Risk Methedology Matrix'!B$28,3,IF(F83='Risk Methedology Matrix'!B$29,2,IF(F83='Risk Methedology Matrix'!B$30,1,0)))))</f>
        <v>4</v>
      </c>
      <c r="I83" s="58">
        <f>IF(G83='Risk Methedology Matrix'!G$25,5,IF(G83='Risk Methedology Matrix'!F$25,4,IF(G83='Risk Methedology Matrix'!E$25,3,IF(G83='Risk Methedology Matrix'!D$25,2,IF(G83='Risk Methedology Matrix'!C$25,1,0)))))</f>
        <v>4</v>
      </c>
      <c r="J83" s="58" t="str">
        <f t="shared" si="4"/>
        <v>High</v>
      </c>
      <c r="K83" s="96" t="s">
        <v>476</v>
      </c>
      <c r="L83" s="47" t="s">
        <v>169</v>
      </c>
      <c r="M83" s="58" t="str">
        <f t="shared" ref="M83:M146" si="6">IF(OR(J83="",L83=""),"",
IF(AND(J83="Very High",L83="Excellent"),"Low",
IF(AND(J83="Very High",L83="Good"),"Medium",
IF(AND(J83="Very High",L83="Fair"),"High",
IF(AND(J83="Very High",L83="Poor"),"Very High",
IF(AND(J83="Very High",L83="Unsatisfactory"),"Very High",
IF(AND(J83="High",L83="Excellent"),"Very Low",
IF(AND(J83="High",L83="Good"),"Low",
IF(AND(J83="High",L83="Fair"),"Medium",
IF(AND(J83="High",L83="Poor"),"High",
IF(AND(J83="High",L83="Unsatisfactory"),"High",
IF(AND(J83="Medium",L83="Excellent"),"Very Low",
IF(AND(J83="Medium",L83="Good"),"Very Low",
IF(AND(J83="Medium",L83="Fair"),"Low",
IF(AND(J83="Medium",L83="Poor"),"Medium",
IF(AND(J83="Medium",L83="Unsatisfactory"),"Medium",
IF(AND(J83="Low",L83="Excellent"),"Very Low",
IF(AND(J83="Low",L83="Good"),"Very Low",
IF(AND(J83="Low",L83="Fair"),"Very Low",
IF(AND(J83="Low",L83="Poor"),"Low",
IF(AND(J83="Low",L83="Unsatisfactory"),"Low",
IF(AND(J83="Very Low",L83="Excellent"),"Very Low",
IF(AND(J83="Very Low",L83="Good"),"Very Low",
IF(AND(J83="Very Low",L83="Fair"),"Very Low",
IF(AND(J83="Very Low",L83="Poor"),"Very Low",
IF(AND(J83="Very Low",L83="Unsatisfactory"),"Very Low",""))))))))))))))))))))))))))</f>
        <v>Low</v>
      </c>
      <c r="N83" s="96"/>
      <c r="O83" s="98"/>
      <c r="P83" s="99"/>
      <c r="Q83" s="97"/>
      <c r="R83" s="65"/>
      <c r="S83" s="154" t="str">
        <f t="shared" si="5"/>
        <v/>
      </c>
      <c r="U83" s="135"/>
      <c r="V83" s="151"/>
    </row>
    <row r="84" spans="1:22" ht="13">
      <c r="A84" s="95" t="s">
        <v>477</v>
      </c>
      <c r="B84" s="95" t="s">
        <v>88</v>
      </c>
      <c r="C84" s="95" t="s">
        <v>478</v>
      </c>
      <c r="D84" s="304" t="s">
        <v>270</v>
      </c>
      <c r="E84" s="95" t="s">
        <v>479</v>
      </c>
      <c r="F84" s="47" t="s">
        <v>114</v>
      </c>
      <c r="G84" s="47" t="s">
        <v>104</v>
      </c>
      <c r="H84" s="58">
        <f>IF(F84='Risk Methedology Matrix'!B$26,5,IF(F84='Risk Methedology Matrix'!B$27,4,IF(F84='Risk Methedology Matrix'!B$28,3,IF(F84='Risk Methedology Matrix'!B$29,2,IF(F84='Risk Methedology Matrix'!B$30,1,0)))))</f>
        <v>3</v>
      </c>
      <c r="I84" s="58">
        <f>IF(G84='Risk Methedology Matrix'!G$25,5,IF(G84='Risk Methedology Matrix'!F$25,4,IF(G84='Risk Methedology Matrix'!E$25,3,IF(G84='Risk Methedology Matrix'!D$25,2,IF(G84='Risk Methedology Matrix'!C$25,1,0)))))</f>
        <v>3</v>
      </c>
      <c r="J84" s="58" t="str">
        <f t="shared" si="4"/>
        <v>Medium</v>
      </c>
      <c r="K84" s="96" t="s">
        <v>480</v>
      </c>
      <c r="L84" s="47" t="s">
        <v>85</v>
      </c>
      <c r="M84" s="58" t="str">
        <f t="shared" si="6"/>
        <v>Low</v>
      </c>
      <c r="N84" s="96"/>
      <c r="O84" s="98"/>
      <c r="P84" s="99"/>
      <c r="Q84" s="97"/>
      <c r="R84" s="65"/>
      <c r="S84" s="154" t="str">
        <f t="shared" si="5"/>
        <v/>
      </c>
      <c r="U84" s="135"/>
      <c r="V84" s="151"/>
    </row>
    <row r="85" spans="1:22" ht="13">
      <c r="A85" s="95" t="s">
        <v>481</v>
      </c>
      <c r="B85" s="95" t="s">
        <v>355</v>
      </c>
      <c r="C85" s="95" t="s">
        <v>482</v>
      </c>
      <c r="D85" s="304" t="s">
        <v>270</v>
      </c>
      <c r="E85" s="95" t="s">
        <v>483</v>
      </c>
      <c r="F85" s="47" t="s">
        <v>83</v>
      </c>
      <c r="G85" s="47" t="s">
        <v>84</v>
      </c>
      <c r="H85" s="58">
        <f>IF(F85='Risk Methedology Matrix'!B$26,5,IF(F85='Risk Methedology Matrix'!B$27,4,IF(F85='Risk Methedology Matrix'!B$28,3,IF(F85='Risk Methedology Matrix'!B$29,2,IF(F85='Risk Methedology Matrix'!B$30,1,0)))))</f>
        <v>4</v>
      </c>
      <c r="I85" s="58">
        <f>IF(G85='Risk Methedology Matrix'!G$25,5,IF(G85='Risk Methedology Matrix'!F$25,4,IF(G85='Risk Methedology Matrix'!E$25,3,IF(G85='Risk Methedology Matrix'!D$25,2,IF(G85='Risk Methedology Matrix'!C$25,1,0)))))</f>
        <v>4</v>
      </c>
      <c r="J85" s="58" t="str">
        <f t="shared" si="4"/>
        <v>High</v>
      </c>
      <c r="K85" s="96" t="s">
        <v>484</v>
      </c>
      <c r="L85" s="47" t="s">
        <v>169</v>
      </c>
      <c r="M85" s="58" t="str">
        <f t="shared" si="6"/>
        <v>Low</v>
      </c>
      <c r="N85" s="96"/>
      <c r="O85" s="98"/>
      <c r="P85" s="99"/>
      <c r="Q85" s="97"/>
      <c r="R85" s="65"/>
      <c r="S85" s="154" t="str">
        <f t="shared" si="5"/>
        <v/>
      </c>
      <c r="U85" s="135"/>
      <c r="V85" s="151"/>
    </row>
    <row r="86" spans="1:22" ht="13">
      <c r="A86" s="95" t="s">
        <v>485</v>
      </c>
      <c r="B86" s="95" t="s">
        <v>88</v>
      </c>
      <c r="C86" s="95" t="s">
        <v>486</v>
      </c>
      <c r="D86" s="304" t="s">
        <v>270</v>
      </c>
      <c r="E86" s="95" t="s">
        <v>487</v>
      </c>
      <c r="F86" s="47" t="s">
        <v>83</v>
      </c>
      <c r="G86" s="47" t="s">
        <v>161</v>
      </c>
      <c r="H86" s="58">
        <f>IF(F86='Risk Methedology Matrix'!B$26,5,IF(F86='Risk Methedology Matrix'!B$27,4,IF(F86='Risk Methedology Matrix'!B$28,3,IF(F86='Risk Methedology Matrix'!B$29,2,IF(F86='Risk Methedology Matrix'!B$30,1,0)))))</f>
        <v>4</v>
      </c>
      <c r="I86" s="58">
        <f>IF(G86='Risk Methedology Matrix'!G$25,5,IF(G86='Risk Methedology Matrix'!F$25,4,IF(G86='Risk Methedology Matrix'!E$25,3,IF(G86='Risk Methedology Matrix'!D$25,2,IF(G86='Risk Methedology Matrix'!C$25,1,0)))))</f>
        <v>2</v>
      </c>
      <c r="J86" s="58" t="str">
        <f t="shared" si="4"/>
        <v>Medium</v>
      </c>
      <c r="K86" s="96" t="s">
        <v>488</v>
      </c>
      <c r="L86" s="47" t="s">
        <v>85</v>
      </c>
      <c r="M86" s="58" t="str">
        <f t="shared" si="6"/>
        <v>Low</v>
      </c>
      <c r="N86" s="96"/>
      <c r="O86" s="98"/>
      <c r="P86" s="99"/>
      <c r="Q86" s="97"/>
      <c r="R86" s="65"/>
      <c r="S86" s="154" t="str">
        <f t="shared" si="5"/>
        <v/>
      </c>
      <c r="U86" s="135"/>
      <c r="V86" s="151"/>
    </row>
    <row r="87" spans="1:22" ht="12.5">
      <c r="A87" s="95" t="s">
        <v>489</v>
      </c>
      <c r="B87" s="95" t="s">
        <v>88</v>
      </c>
      <c r="C87" s="95" t="s">
        <v>490</v>
      </c>
      <c r="D87" s="304" t="s">
        <v>270</v>
      </c>
      <c r="E87" s="95" t="s">
        <v>491</v>
      </c>
      <c r="F87" s="47" t="s">
        <v>114</v>
      </c>
      <c r="G87" s="47" t="s">
        <v>104</v>
      </c>
      <c r="H87" s="58">
        <f>IF(F87='Risk Methedology Matrix'!B$26,5,IF(F87='Risk Methedology Matrix'!B$27,4,IF(F87='Risk Methedology Matrix'!B$28,3,IF(F87='Risk Methedology Matrix'!B$29,2,IF(F87='Risk Methedology Matrix'!B$30,1,0)))))</f>
        <v>3</v>
      </c>
      <c r="I87" s="58">
        <f>IF(G87='Risk Methedology Matrix'!G$25,5,IF(G87='Risk Methedology Matrix'!F$25,4,IF(G87='Risk Methedology Matrix'!E$25,3,IF(G87='Risk Methedology Matrix'!D$25,2,IF(G87='Risk Methedology Matrix'!C$25,1,0)))))</f>
        <v>3</v>
      </c>
      <c r="J87" s="58" t="str">
        <f t="shared" si="4"/>
        <v>Medium</v>
      </c>
      <c r="K87" s="96" t="s">
        <v>492</v>
      </c>
      <c r="L87" s="47" t="s">
        <v>85</v>
      </c>
      <c r="M87" s="58" t="str">
        <f t="shared" si="6"/>
        <v>Low</v>
      </c>
      <c r="N87" s="96"/>
      <c r="O87" s="100"/>
      <c r="P87" s="100"/>
      <c r="Q87" s="100"/>
      <c r="R87" s="65"/>
      <c r="S87" s="154" t="str">
        <f t="shared" si="5"/>
        <v/>
      </c>
      <c r="U87" s="135"/>
      <c r="V87" s="151"/>
    </row>
    <row r="88" spans="1:22" ht="12.5">
      <c r="A88" s="95" t="s">
        <v>493</v>
      </c>
      <c r="B88" s="95" t="s">
        <v>372</v>
      </c>
      <c r="C88" s="95" t="s">
        <v>494</v>
      </c>
      <c r="D88" s="304" t="s">
        <v>270</v>
      </c>
      <c r="E88" s="95" t="s">
        <v>495</v>
      </c>
      <c r="F88" s="47" t="s">
        <v>83</v>
      </c>
      <c r="G88" s="47" t="s">
        <v>84</v>
      </c>
      <c r="H88" s="58">
        <f>IF(F88='Risk Methedology Matrix'!B$26,5,IF(F88='Risk Methedology Matrix'!B$27,4,IF(F88='Risk Methedology Matrix'!B$28,3,IF(F88='Risk Methedology Matrix'!B$29,2,IF(F88='Risk Methedology Matrix'!B$30,1,0)))))</f>
        <v>4</v>
      </c>
      <c r="I88" s="58">
        <f>IF(G88='Risk Methedology Matrix'!G$25,5,IF(G88='Risk Methedology Matrix'!F$25,4,IF(G88='Risk Methedology Matrix'!E$25,3,IF(G88='Risk Methedology Matrix'!D$25,2,IF(G88='Risk Methedology Matrix'!C$25,1,0)))))</f>
        <v>4</v>
      </c>
      <c r="J88" s="58" t="str">
        <f t="shared" si="4"/>
        <v>High</v>
      </c>
      <c r="K88" s="96" t="s">
        <v>496</v>
      </c>
      <c r="L88" s="47" t="s">
        <v>169</v>
      </c>
      <c r="M88" s="58" t="str">
        <f t="shared" si="6"/>
        <v>Low</v>
      </c>
      <c r="N88" s="96"/>
      <c r="O88" s="100"/>
      <c r="P88" s="100"/>
      <c r="Q88" s="100"/>
      <c r="R88" s="65"/>
      <c r="S88" s="154" t="str">
        <f t="shared" si="5"/>
        <v/>
      </c>
      <c r="U88" s="135"/>
      <c r="V88" s="151"/>
    </row>
    <row r="89" spans="1:22" ht="13">
      <c r="A89" s="95" t="s">
        <v>497</v>
      </c>
      <c r="B89" s="95" t="s">
        <v>372</v>
      </c>
      <c r="C89" s="95" t="s">
        <v>498</v>
      </c>
      <c r="D89" s="304" t="s">
        <v>270</v>
      </c>
      <c r="E89" s="95" t="s">
        <v>499</v>
      </c>
      <c r="F89" s="47" t="s">
        <v>83</v>
      </c>
      <c r="G89" s="47" t="s">
        <v>84</v>
      </c>
      <c r="H89" s="58">
        <f>IF(F89='Risk Methedology Matrix'!B$26,5,IF(F89='Risk Methedology Matrix'!B$27,4,IF(F89='Risk Methedology Matrix'!B$28,3,IF(F89='Risk Methedology Matrix'!B$29,2,IF(F89='Risk Methedology Matrix'!B$30,1,0)))))</f>
        <v>4</v>
      </c>
      <c r="I89" s="58">
        <f>IF(G89='Risk Methedology Matrix'!G$25,5,IF(G89='Risk Methedology Matrix'!F$25,4,IF(G89='Risk Methedology Matrix'!E$25,3,IF(G89='Risk Methedology Matrix'!D$25,2,IF(G89='Risk Methedology Matrix'!C$25,1,0)))))</f>
        <v>4</v>
      </c>
      <c r="J89" s="58" t="str">
        <f t="shared" si="4"/>
        <v>High</v>
      </c>
      <c r="K89" s="97" t="s">
        <v>500</v>
      </c>
      <c r="L89" s="47" t="s">
        <v>169</v>
      </c>
      <c r="M89" s="58" t="str">
        <f t="shared" si="6"/>
        <v>Low</v>
      </c>
      <c r="N89" s="96"/>
      <c r="O89" s="101"/>
      <c r="P89" s="99"/>
      <c r="Q89" s="100"/>
      <c r="R89" s="65"/>
      <c r="S89" s="154" t="str">
        <f t="shared" si="5"/>
        <v/>
      </c>
      <c r="U89" s="135"/>
      <c r="V89" s="151"/>
    </row>
    <row r="90" spans="1:22" ht="12.5">
      <c r="A90" s="95" t="s">
        <v>501</v>
      </c>
      <c r="B90" s="95" t="s">
        <v>88</v>
      </c>
      <c r="C90" s="95" t="s">
        <v>502</v>
      </c>
      <c r="D90" s="304" t="s">
        <v>270</v>
      </c>
      <c r="E90" s="95" t="s">
        <v>503</v>
      </c>
      <c r="F90" s="47" t="s">
        <v>83</v>
      </c>
      <c r="G90" s="47" t="s">
        <v>84</v>
      </c>
      <c r="H90" s="58">
        <f>IF(F90='Risk Methedology Matrix'!B$26,5,IF(F90='Risk Methedology Matrix'!B$27,4,IF(F90='Risk Methedology Matrix'!B$28,3,IF(F90='Risk Methedology Matrix'!B$29,2,IF(F90='Risk Methedology Matrix'!B$30,1,0)))))</f>
        <v>4</v>
      </c>
      <c r="I90" s="58">
        <f>IF(G90='Risk Methedology Matrix'!G$25,5,IF(G90='Risk Methedology Matrix'!F$25,4,IF(G90='Risk Methedology Matrix'!E$25,3,IF(G90='Risk Methedology Matrix'!D$25,2,IF(G90='Risk Methedology Matrix'!C$25,1,0)))))</f>
        <v>4</v>
      </c>
      <c r="J90" s="58" t="str">
        <f t="shared" si="4"/>
        <v>High</v>
      </c>
      <c r="K90" s="96" t="s">
        <v>504</v>
      </c>
      <c r="L90" s="47" t="s">
        <v>169</v>
      </c>
      <c r="M90" s="58" t="str">
        <f t="shared" si="6"/>
        <v>Low</v>
      </c>
      <c r="N90" s="96"/>
      <c r="O90" s="100"/>
      <c r="P90" s="100"/>
      <c r="Q90" s="100"/>
      <c r="R90" s="65"/>
      <c r="S90" s="154" t="str">
        <f t="shared" si="5"/>
        <v/>
      </c>
      <c r="U90" s="135"/>
      <c r="V90" s="151"/>
    </row>
    <row r="91" spans="1:22" ht="12.5">
      <c r="A91" s="95" t="s">
        <v>505</v>
      </c>
      <c r="B91" s="95" t="s">
        <v>88</v>
      </c>
      <c r="C91" s="95" t="s">
        <v>506</v>
      </c>
      <c r="D91" s="304" t="s">
        <v>270</v>
      </c>
      <c r="E91" s="95" t="s">
        <v>507</v>
      </c>
      <c r="F91" s="47" t="s">
        <v>83</v>
      </c>
      <c r="G91" s="47" t="s">
        <v>84</v>
      </c>
      <c r="H91" s="58">
        <f>IF(F91='Risk Methedology Matrix'!B$26,5,IF(F91='Risk Methedology Matrix'!B$27,4,IF(F91='Risk Methedology Matrix'!B$28,3,IF(F91='Risk Methedology Matrix'!B$29,2,IF(F91='Risk Methedology Matrix'!B$30,1,0)))))</f>
        <v>4</v>
      </c>
      <c r="I91" s="58">
        <f>IF(G91='Risk Methedology Matrix'!G$25,5,IF(G91='Risk Methedology Matrix'!F$25,4,IF(G91='Risk Methedology Matrix'!E$25,3,IF(G91='Risk Methedology Matrix'!D$25,2,IF(G91='Risk Methedology Matrix'!C$25,1,0)))))</f>
        <v>4</v>
      </c>
      <c r="J91" s="58" t="str">
        <f t="shared" si="4"/>
        <v>High</v>
      </c>
      <c r="K91" s="96" t="s">
        <v>508</v>
      </c>
      <c r="L91" s="47" t="s">
        <v>169</v>
      </c>
      <c r="M91" s="58" t="str">
        <f t="shared" si="6"/>
        <v>Low</v>
      </c>
      <c r="N91" s="96"/>
      <c r="O91" s="100"/>
      <c r="P91" s="100"/>
      <c r="Q91" s="100"/>
      <c r="R91" s="65"/>
      <c r="S91" s="154" t="str">
        <f t="shared" si="5"/>
        <v/>
      </c>
      <c r="U91" s="135"/>
      <c r="V91" s="151"/>
    </row>
    <row r="92" spans="1:22" ht="43.5">
      <c r="A92" s="95" t="s">
        <v>509</v>
      </c>
      <c r="B92" s="95" t="s">
        <v>372</v>
      </c>
      <c r="C92" s="95" t="s">
        <v>510</v>
      </c>
      <c r="D92" s="304" t="s">
        <v>270</v>
      </c>
      <c r="E92" s="95" t="s">
        <v>511</v>
      </c>
      <c r="F92" s="47" t="s">
        <v>83</v>
      </c>
      <c r="G92" s="47" t="s">
        <v>161</v>
      </c>
      <c r="H92" s="58">
        <f>IF(F92='Risk Methedology Matrix'!B$26,5,IF(F92='Risk Methedology Matrix'!B$27,4,IF(F92='Risk Methedology Matrix'!B$28,3,IF(F92='Risk Methedology Matrix'!B$29,2,IF(F92='Risk Methedology Matrix'!B$30,1,0)))))</f>
        <v>4</v>
      </c>
      <c r="I92" s="58">
        <f>IF(G92='Risk Methedology Matrix'!G$25,5,IF(G92='Risk Methedology Matrix'!F$25,4,IF(G92='Risk Methedology Matrix'!E$25,3,IF(G92='Risk Methedology Matrix'!D$25,2,IF(G92='Risk Methedology Matrix'!C$25,1,0)))))</f>
        <v>2</v>
      </c>
      <c r="J92" s="58" t="str">
        <f t="shared" si="4"/>
        <v>Medium</v>
      </c>
      <c r="K92" s="96" t="s">
        <v>512</v>
      </c>
      <c r="L92" s="47" t="s">
        <v>85</v>
      </c>
      <c r="M92" s="58" t="str">
        <f t="shared" si="6"/>
        <v>Low</v>
      </c>
      <c r="N92" s="96"/>
      <c r="O92" s="97"/>
      <c r="P92" s="99"/>
      <c r="Q92" s="100"/>
      <c r="R92" s="65"/>
      <c r="S92" s="154" t="str">
        <f t="shared" si="5"/>
        <v/>
      </c>
      <c r="U92" s="135" t="s">
        <v>1187</v>
      </c>
      <c r="V92" s="152" t="s">
        <v>1195</v>
      </c>
    </row>
    <row r="93" spans="1:22" ht="12.5">
      <c r="A93" s="95" t="s">
        <v>513</v>
      </c>
      <c r="B93" s="95" t="s">
        <v>372</v>
      </c>
      <c r="C93" s="95" t="s">
        <v>514</v>
      </c>
      <c r="D93" s="304" t="s">
        <v>270</v>
      </c>
      <c r="E93" s="95" t="s">
        <v>515</v>
      </c>
      <c r="F93" s="47" t="s">
        <v>83</v>
      </c>
      <c r="G93" s="47" t="s">
        <v>84</v>
      </c>
      <c r="H93" s="58">
        <f>IF(F93='Risk Methedology Matrix'!B$26,5,IF(F93='Risk Methedology Matrix'!B$27,4,IF(F93='Risk Methedology Matrix'!B$28,3,IF(F93='Risk Methedology Matrix'!B$29,2,IF(F93='Risk Methedology Matrix'!B$30,1,0)))))</f>
        <v>4</v>
      </c>
      <c r="I93" s="58">
        <f>IF(G93='Risk Methedology Matrix'!G$25,5,IF(G93='Risk Methedology Matrix'!F$25,4,IF(G93='Risk Methedology Matrix'!E$25,3,IF(G93='Risk Methedology Matrix'!D$25,2,IF(G93='Risk Methedology Matrix'!C$25,1,0)))))</f>
        <v>4</v>
      </c>
      <c r="J93" s="58" t="str">
        <f t="shared" si="4"/>
        <v>High</v>
      </c>
      <c r="K93" s="96" t="s">
        <v>516</v>
      </c>
      <c r="L93" s="47" t="s">
        <v>169</v>
      </c>
      <c r="M93" s="58" t="str">
        <f t="shared" si="6"/>
        <v>Low</v>
      </c>
      <c r="N93" s="96"/>
      <c r="O93" s="100"/>
      <c r="P93" s="100"/>
      <c r="Q93" s="100"/>
      <c r="R93" s="65"/>
      <c r="S93" s="154" t="str">
        <f t="shared" si="5"/>
        <v/>
      </c>
      <c r="U93" s="135"/>
      <c r="V93" s="151"/>
    </row>
    <row r="94" spans="1:22" ht="12.5">
      <c r="A94" s="95" t="s">
        <v>517</v>
      </c>
      <c r="B94" s="95" t="s">
        <v>338</v>
      </c>
      <c r="C94" s="95" t="s">
        <v>518</v>
      </c>
      <c r="D94" s="304" t="s">
        <v>270</v>
      </c>
      <c r="E94" s="95" t="s">
        <v>519</v>
      </c>
      <c r="F94" s="47" t="s">
        <v>114</v>
      </c>
      <c r="G94" s="47" t="s">
        <v>104</v>
      </c>
      <c r="H94" s="58">
        <f>IF(F94='Risk Methedology Matrix'!B$26,5,IF(F94='Risk Methedology Matrix'!B$27,4,IF(F94='Risk Methedology Matrix'!B$28,3,IF(F94='Risk Methedology Matrix'!B$29,2,IF(F94='Risk Methedology Matrix'!B$30,1,0)))))</f>
        <v>3</v>
      </c>
      <c r="I94" s="58">
        <f>IF(G94='Risk Methedology Matrix'!G$25,5,IF(G94='Risk Methedology Matrix'!F$25,4,IF(G94='Risk Methedology Matrix'!E$25,3,IF(G94='Risk Methedology Matrix'!D$25,2,IF(G94='Risk Methedology Matrix'!C$25,1,0)))))</f>
        <v>3</v>
      </c>
      <c r="J94" s="58" t="str">
        <f t="shared" si="4"/>
        <v>Medium</v>
      </c>
      <c r="K94" s="96" t="s">
        <v>520</v>
      </c>
      <c r="L94" s="47" t="s">
        <v>85</v>
      </c>
      <c r="M94" s="58" t="str">
        <f t="shared" si="6"/>
        <v>Low</v>
      </c>
      <c r="N94" s="96"/>
      <c r="O94" s="100"/>
      <c r="P94" s="100"/>
      <c r="Q94" s="100"/>
      <c r="R94" s="65"/>
      <c r="S94" s="154" t="str">
        <f t="shared" si="5"/>
        <v/>
      </c>
      <c r="U94" s="135"/>
      <c r="V94" s="151"/>
    </row>
    <row r="95" spans="1:22" ht="12.5">
      <c r="A95" s="95" t="s">
        <v>521</v>
      </c>
      <c r="B95" s="95" t="s">
        <v>372</v>
      </c>
      <c r="C95" s="95" t="s">
        <v>522</v>
      </c>
      <c r="D95" s="304" t="s">
        <v>270</v>
      </c>
      <c r="E95" s="95" t="s">
        <v>523</v>
      </c>
      <c r="F95" s="47" t="s">
        <v>83</v>
      </c>
      <c r="G95" s="47" t="s">
        <v>84</v>
      </c>
      <c r="H95" s="58">
        <f>IF(F95='Risk Methedology Matrix'!B$26,5,IF(F95='Risk Methedology Matrix'!B$27,4,IF(F95='Risk Methedology Matrix'!B$28,3,IF(F95='Risk Methedology Matrix'!B$29,2,IF(F95='Risk Methedology Matrix'!B$30,1,0)))))</f>
        <v>4</v>
      </c>
      <c r="I95" s="58">
        <f>IF(G95='Risk Methedology Matrix'!G$25,5,IF(G95='Risk Methedology Matrix'!F$25,4,IF(G95='Risk Methedology Matrix'!E$25,3,IF(G95='Risk Methedology Matrix'!D$25,2,IF(G95='Risk Methedology Matrix'!C$25,1,0)))))</f>
        <v>4</v>
      </c>
      <c r="J95" s="58" t="str">
        <f t="shared" si="4"/>
        <v>High</v>
      </c>
      <c r="K95" s="96" t="s">
        <v>524</v>
      </c>
      <c r="L95" s="47" t="s">
        <v>169</v>
      </c>
      <c r="M95" s="58" t="str">
        <f t="shared" si="6"/>
        <v>Low</v>
      </c>
      <c r="N95" s="96"/>
      <c r="O95" s="100"/>
      <c r="P95" s="100"/>
      <c r="Q95" s="100"/>
      <c r="R95" s="65"/>
      <c r="S95" s="154" t="str">
        <f t="shared" si="5"/>
        <v/>
      </c>
      <c r="U95" s="135"/>
      <c r="V95" s="151"/>
    </row>
    <row r="96" spans="1:22" ht="12.5">
      <c r="A96" s="95" t="s">
        <v>525</v>
      </c>
      <c r="B96" s="95" t="s">
        <v>88</v>
      </c>
      <c r="C96" s="95" t="s">
        <v>526</v>
      </c>
      <c r="D96" s="304" t="s">
        <v>270</v>
      </c>
      <c r="E96" s="95" t="s">
        <v>527</v>
      </c>
      <c r="F96" s="47" t="s">
        <v>83</v>
      </c>
      <c r="G96" s="47" t="s">
        <v>84</v>
      </c>
      <c r="H96" s="58">
        <f>IF(F96='Risk Methedology Matrix'!B$26,5,IF(F96='Risk Methedology Matrix'!B$27,4,IF(F96='Risk Methedology Matrix'!B$28,3,IF(F96='Risk Methedology Matrix'!B$29,2,IF(F96='Risk Methedology Matrix'!B$30,1,0)))))</f>
        <v>4</v>
      </c>
      <c r="I96" s="58">
        <f>IF(G96='Risk Methedology Matrix'!G$25,5,IF(G96='Risk Methedology Matrix'!F$25,4,IF(G96='Risk Methedology Matrix'!E$25,3,IF(G96='Risk Methedology Matrix'!D$25,2,IF(G96='Risk Methedology Matrix'!C$25,1,0)))))</f>
        <v>4</v>
      </c>
      <c r="J96" s="58" t="str">
        <f t="shared" si="4"/>
        <v>High</v>
      </c>
      <c r="K96" s="96" t="s">
        <v>528</v>
      </c>
      <c r="L96" s="47" t="s">
        <v>169</v>
      </c>
      <c r="M96" s="58" t="str">
        <f t="shared" si="6"/>
        <v>Low</v>
      </c>
      <c r="N96" s="96"/>
      <c r="O96" s="100"/>
      <c r="P96" s="100"/>
      <c r="Q96" s="100"/>
      <c r="R96" s="65"/>
      <c r="S96" s="154" t="str">
        <f t="shared" si="5"/>
        <v/>
      </c>
      <c r="U96" s="135"/>
      <c r="V96" s="151"/>
    </row>
    <row r="97" spans="1:22" ht="12.5">
      <c r="A97" s="95" t="s">
        <v>529</v>
      </c>
      <c r="B97" s="95" t="s">
        <v>453</v>
      </c>
      <c r="C97" s="95" t="s">
        <v>530</v>
      </c>
      <c r="D97" s="304" t="s">
        <v>270</v>
      </c>
      <c r="E97" s="95" t="s">
        <v>531</v>
      </c>
      <c r="F97" s="47" t="s">
        <v>83</v>
      </c>
      <c r="G97" s="47" t="s">
        <v>84</v>
      </c>
      <c r="H97" s="58">
        <f>IF(F97='Risk Methedology Matrix'!B$26,5,IF(F97='Risk Methedology Matrix'!B$27,4,IF(F97='Risk Methedology Matrix'!B$28,3,IF(F97='Risk Methedology Matrix'!B$29,2,IF(F97='Risk Methedology Matrix'!B$30,1,0)))))</f>
        <v>4</v>
      </c>
      <c r="I97" s="58">
        <f>IF(G97='Risk Methedology Matrix'!G$25,5,IF(G97='Risk Methedology Matrix'!F$25,4,IF(G97='Risk Methedology Matrix'!E$25,3,IF(G97='Risk Methedology Matrix'!D$25,2,IF(G97='Risk Methedology Matrix'!C$25,1,0)))))</f>
        <v>4</v>
      </c>
      <c r="J97" s="58" t="str">
        <f t="shared" ref="J97:J108" si="7">IF(OR(F97="",G97=""),"",IF(H97*I97&gt;=20,"Very High",IF(AND(H97*I97&lt;20,H97*I97&gt;=11),"High",IF(AND(H97*I97&lt;11,H97*I97&gt;=6),"Medium",IF(AND(H97*I97&lt;6,H97*I97&gt;=3),"Low",IF(AND(H97*I97&lt;3,H97*I97&gt;=1),"Very Low",""))))))</f>
        <v>High</v>
      </c>
      <c r="K97" s="96" t="s">
        <v>532</v>
      </c>
      <c r="L97" s="47" t="s">
        <v>169</v>
      </c>
      <c r="M97" s="58" t="str">
        <f t="shared" si="6"/>
        <v>Low</v>
      </c>
      <c r="N97" s="96"/>
      <c r="O97" s="100"/>
      <c r="P97" s="100"/>
      <c r="Q97" s="100"/>
      <c r="R97" s="65"/>
      <c r="S97" s="154" t="str">
        <f t="shared" si="5"/>
        <v/>
      </c>
      <c r="U97" s="135"/>
      <c r="V97" s="151"/>
    </row>
    <row r="98" spans="1:22" ht="12.5">
      <c r="A98" s="95" t="s">
        <v>533</v>
      </c>
      <c r="B98" s="95" t="s">
        <v>88</v>
      </c>
      <c r="C98" s="95" t="s">
        <v>534</v>
      </c>
      <c r="D98" s="304" t="s">
        <v>270</v>
      </c>
      <c r="E98" s="95" t="s">
        <v>535</v>
      </c>
      <c r="F98" s="47" t="s">
        <v>114</v>
      </c>
      <c r="G98" s="47" t="s">
        <v>104</v>
      </c>
      <c r="H98" s="58">
        <f>IF(F98='Risk Methedology Matrix'!B$26,5,IF(F98='Risk Methedology Matrix'!B$27,4,IF(F98='Risk Methedology Matrix'!B$28,3,IF(F98='Risk Methedology Matrix'!B$29,2,IF(F98='Risk Methedology Matrix'!B$30,1,0)))))</f>
        <v>3</v>
      </c>
      <c r="I98" s="58">
        <f>IF(G98='Risk Methedology Matrix'!G$25,5,IF(G98='Risk Methedology Matrix'!F$25,4,IF(G98='Risk Methedology Matrix'!E$25,3,IF(G98='Risk Methedology Matrix'!D$25,2,IF(G98='Risk Methedology Matrix'!C$25,1,0)))))</f>
        <v>3</v>
      </c>
      <c r="J98" s="58" t="str">
        <f t="shared" si="7"/>
        <v>Medium</v>
      </c>
      <c r="K98" s="96" t="s">
        <v>536</v>
      </c>
      <c r="L98" s="47" t="s">
        <v>85</v>
      </c>
      <c r="M98" s="58" t="str">
        <f t="shared" si="6"/>
        <v>Low</v>
      </c>
      <c r="N98" s="96"/>
      <c r="O98" s="100"/>
      <c r="P98" s="100"/>
      <c r="Q98" s="100"/>
      <c r="R98" s="65"/>
      <c r="S98" s="154" t="str">
        <f t="shared" si="5"/>
        <v/>
      </c>
      <c r="U98" s="135"/>
      <c r="V98" s="151"/>
    </row>
    <row r="99" spans="1:22" ht="12.5">
      <c r="A99" s="95" t="s">
        <v>537</v>
      </c>
      <c r="B99" s="95" t="s">
        <v>88</v>
      </c>
      <c r="C99" s="95" t="s">
        <v>538</v>
      </c>
      <c r="D99" s="304" t="s">
        <v>270</v>
      </c>
      <c r="E99" s="95" t="s">
        <v>539</v>
      </c>
      <c r="F99" s="47" t="s">
        <v>83</v>
      </c>
      <c r="G99" s="47" t="s">
        <v>84</v>
      </c>
      <c r="H99" s="58">
        <f>IF(F99='Risk Methedology Matrix'!B$26,5,IF(F99='Risk Methedology Matrix'!B$27,4,IF(F99='Risk Methedology Matrix'!B$28,3,IF(F99='Risk Methedology Matrix'!B$29,2,IF(F99='Risk Methedology Matrix'!B$30,1,0)))))</f>
        <v>4</v>
      </c>
      <c r="I99" s="58">
        <f>IF(G99='Risk Methedology Matrix'!G$25,5,IF(G99='Risk Methedology Matrix'!F$25,4,IF(G99='Risk Methedology Matrix'!E$25,3,IF(G99='Risk Methedology Matrix'!D$25,2,IF(G99='Risk Methedology Matrix'!C$25,1,0)))))</f>
        <v>4</v>
      </c>
      <c r="J99" s="58" t="str">
        <f t="shared" si="7"/>
        <v>High</v>
      </c>
      <c r="K99" s="96" t="s">
        <v>540</v>
      </c>
      <c r="L99" s="47" t="s">
        <v>169</v>
      </c>
      <c r="M99" s="58" t="str">
        <f t="shared" si="6"/>
        <v>Low</v>
      </c>
      <c r="N99" s="96"/>
      <c r="O99" s="100"/>
      <c r="P99" s="100"/>
      <c r="Q99" s="100"/>
      <c r="R99" s="65"/>
      <c r="S99" s="154" t="str">
        <f t="shared" si="5"/>
        <v/>
      </c>
      <c r="U99" s="135"/>
      <c r="V99" s="151"/>
    </row>
    <row r="100" spans="1:22" ht="12.5">
      <c r="A100" s="95" t="s">
        <v>541</v>
      </c>
      <c r="B100" s="95" t="s">
        <v>88</v>
      </c>
      <c r="C100" s="95" t="s">
        <v>542</v>
      </c>
      <c r="D100" s="304" t="s">
        <v>270</v>
      </c>
      <c r="E100" s="95" t="s">
        <v>543</v>
      </c>
      <c r="F100" s="47" t="s">
        <v>114</v>
      </c>
      <c r="G100" s="47" t="s">
        <v>104</v>
      </c>
      <c r="H100" s="58">
        <f>IF(F100='Risk Methedology Matrix'!B$26,5,IF(F100='Risk Methedology Matrix'!B$27,4,IF(F100='Risk Methedology Matrix'!B$28,3,IF(F100='Risk Methedology Matrix'!B$29,2,IF(F100='Risk Methedology Matrix'!B$30,1,0)))))</f>
        <v>3</v>
      </c>
      <c r="I100" s="58">
        <f>IF(G100='Risk Methedology Matrix'!G$25,5,IF(G100='Risk Methedology Matrix'!F$25,4,IF(G100='Risk Methedology Matrix'!E$25,3,IF(G100='Risk Methedology Matrix'!D$25,2,IF(G100='Risk Methedology Matrix'!C$25,1,0)))))</f>
        <v>3</v>
      </c>
      <c r="J100" s="58" t="str">
        <f t="shared" si="7"/>
        <v>Medium</v>
      </c>
      <c r="K100" s="96" t="s">
        <v>544</v>
      </c>
      <c r="L100" s="47" t="s">
        <v>169</v>
      </c>
      <c r="M100" s="58" t="str">
        <f t="shared" si="6"/>
        <v>Very Low</v>
      </c>
      <c r="N100" s="96"/>
      <c r="O100" s="100"/>
      <c r="P100" s="100"/>
      <c r="Q100" s="100"/>
      <c r="R100" s="65"/>
      <c r="S100" s="154" t="str">
        <f t="shared" si="5"/>
        <v/>
      </c>
      <c r="U100" s="135"/>
      <c r="V100" s="151"/>
    </row>
    <row r="101" spans="1:22" ht="12.5">
      <c r="A101" s="95" t="s">
        <v>545</v>
      </c>
      <c r="B101" s="95" t="s">
        <v>88</v>
      </c>
      <c r="C101" s="95" t="s">
        <v>546</v>
      </c>
      <c r="D101" s="304" t="s">
        <v>270</v>
      </c>
      <c r="E101" s="95" t="s">
        <v>547</v>
      </c>
      <c r="F101" s="47" t="s">
        <v>83</v>
      </c>
      <c r="G101" s="47" t="s">
        <v>84</v>
      </c>
      <c r="H101" s="58">
        <f>IF(F101='Risk Methedology Matrix'!B$26,5,IF(F101='Risk Methedology Matrix'!B$27,4,IF(F101='Risk Methedology Matrix'!B$28,3,IF(F101='Risk Methedology Matrix'!B$29,2,IF(F101='Risk Methedology Matrix'!B$30,1,0)))))</f>
        <v>4</v>
      </c>
      <c r="I101" s="58">
        <f>IF(G101='Risk Methedology Matrix'!G$25,5,IF(G101='Risk Methedology Matrix'!F$25,4,IF(G101='Risk Methedology Matrix'!E$25,3,IF(G101='Risk Methedology Matrix'!D$25,2,IF(G101='Risk Methedology Matrix'!C$25,1,0)))))</f>
        <v>4</v>
      </c>
      <c r="J101" s="58" t="str">
        <f t="shared" si="7"/>
        <v>High</v>
      </c>
      <c r="K101" s="96" t="s">
        <v>548</v>
      </c>
      <c r="L101" s="47" t="s">
        <v>169</v>
      </c>
      <c r="M101" s="58" t="str">
        <f t="shared" si="6"/>
        <v>Low</v>
      </c>
      <c r="N101" s="96"/>
      <c r="O101" s="100"/>
      <c r="P101" s="100"/>
      <c r="Q101" s="100"/>
      <c r="R101" s="65"/>
      <c r="S101" s="154" t="str">
        <f t="shared" si="5"/>
        <v/>
      </c>
      <c r="U101" s="135"/>
      <c r="V101" s="151"/>
    </row>
    <row r="102" spans="1:22" ht="12.5">
      <c r="A102" s="95" t="s">
        <v>549</v>
      </c>
      <c r="B102" s="95" t="s">
        <v>88</v>
      </c>
      <c r="C102" s="95" t="s">
        <v>550</v>
      </c>
      <c r="D102" s="304" t="s">
        <v>270</v>
      </c>
      <c r="E102" s="95" t="s">
        <v>551</v>
      </c>
      <c r="F102" s="47" t="s">
        <v>114</v>
      </c>
      <c r="G102" s="47" t="s">
        <v>104</v>
      </c>
      <c r="H102" s="58">
        <f>IF(F102='Risk Methedology Matrix'!B$26,5,IF(F102='Risk Methedology Matrix'!B$27,4,IF(F102='Risk Methedology Matrix'!B$28,3,IF(F102='Risk Methedology Matrix'!B$29,2,IF(F102='Risk Methedology Matrix'!B$30,1,0)))))</f>
        <v>3</v>
      </c>
      <c r="I102" s="58">
        <f>IF(G102='Risk Methedology Matrix'!G$25,5,IF(G102='Risk Methedology Matrix'!F$25,4,IF(G102='Risk Methedology Matrix'!E$25,3,IF(G102='Risk Methedology Matrix'!D$25,2,IF(G102='Risk Methedology Matrix'!C$25,1,0)))))</f>
        <v>3</v>
      </c>
      <c r="J102" s="58" t="str">
        <f t="shared" si="7"/>
        <v>Medium</v>
      </c>
      <c r="K102" s="96" t="s">
        <v>552</v>
      </c>
      <c r="L102" s="47" t="s">
        <v>169</v>
      </c>
      <c r="M102" s="58" t="str">
        <f t="shared" si="6"/>
        <v>Very Low</v>
      </c>
      <c r="N102" s="96"/>
      <c r="O102" s="100"/>
      <c r="P102" s="100"/>
      <c r="Q102" s="100"/>
      <c r="R102" s="65"/>
      <c r="S102" s="154" t="str">
        <f t="shared" si="5"/>
        <v/>
      </c>
      <c r="U102" s="135"/>
      <c r="V102" s="151"/>
    </row>
    <row r="103" spans="1:22" ht="12.5">
      <c r="A103" s="95" t="s">
        <v>553</v>
      </c>
      <c r="B103" s="95" t="s">
        <v>88</v>
      </c>
      <c r="C103" s="95" t="s">
        <v>554</v>
      </c>
      <c r="D103" s="304" t="s">
        <v>270</v>
      </c>
      <c r="E103" s="95" t="s">
        <v>555</v>
      </c>
      <c r="F103" s="47" t="s">
        <v>83</v>
      </c>
      <c r="G103" s="47" t="s">
        <v>84</v>
      </c>
      <c r="H103" s="58">
        <f>IF(F103='Risk Methedology Matrix'!B$26,5,IF(F103='Risk Methedology Matrix'!B$27,4,IF(F103='Risk Methedology Matrix'!B$28,3,IF(F103='Risk Methedology Matrix'!B$29,2,IF(F103='Risk Methedology Matrix'!B$30,1,0)))))</f>
        <v>4</v>
      </c>
      <c r="I103" s="58">
        <f>IF(G103='Risk Methedology Matrix'!G$25,5,IF(G103='Risk Methedology Matrix'!F$25,4,IF(G103='Risk Methedology Matrix'!E$25,3,IF(G103='Risk Methedology Matrix'!D$25,2,IF(G103='Risk Methedology Matrix'!C$25,1,0)))))</f>
        <v>4</v>
      </c>
      <c r="J103" s="58" t="str">
        <f t="shared" si="7"/>
        <v>High</v>
      </c>
      <c r="K103" s="96" t="s">
        <v>556</v>
      </c>
      <c r="L103" s="47" t="s">
        <v>169</v>
      </c>
      <c r="M103" s="58" t="str">
        <f t="shared" si="6"/>
        <v>Low</v>
      </c>
      <c r="N103" s="96"/>
      <c r="O103" s="100"/>
      <c r="P103" s="100"/>
      <c r="Q103" s="100"/>
      <c r="R103" s="65"/>
      <c r="S103" s="154" t="str">
        <f t="shared" si="5"/>
        <v/>
      </c>
      <c r="U103" s="135"/>
      <c r="V103" s="151"/>
    </row>
    <row r="104" spans="1:22" ht="25">
      <c r="A104" s="95" t="s">
        <v>557</v>
      </c>
      <c r="B104" s="95" t="s">
        <v>88</v>
      </c>
      <c r="C104" s="95" t="s">
        <v>558</v>
      </c>
      <c r="D104" s="304" t="s">
        <v>270</v>
      </c>
      <c r="E104" s="95" t="s">
        <v>559</v>
      </c>
      <c r="F104" s="47" t="s">
        <v>83</v>
      </c>
      <c r="G104" s="47" t="s">
        <v>84</v>
      </c>
      <c r="H104" s="58">
        <f>IF(F104='Risk Methedology Matrix'!B$26,5,IF(F104='Risk Methedology Matrix'!B$27,4,IF(F104='Risk Methedology Matrix'!B$28,3,IF(F104='Risk Methedology Matrix'!B$29,2,IF(F104='Risk Methedology Matrix'!B$30,1,0)))))</f>
        <v>4</v>
      </c>
      <c r="I104" s="58">
        <f>IF(G104='Risk Methedology Matrix'!G$25,5,IF(G104='Risk Methedology Matrix'!F$25,4,IF(G104='Risk Methedology Matrix'!E$25,3,IF(G104='Risk Methedology Matrix'!D$25,2,IF(G104='Risk Methedology Matrix'!C$25,1,0)))))</f>
        <v>4</v>
      </c>
      <c r="J104" s="58" t="str">
        <f t="shared" si="7"/>
        <v>High</v>
      </c>
      <c r="K104" s="96" t="s">
        <v>560</v>
      </c>
      <c r="L104" s="47" t="s">
        <v>169</v>
      </c>
      <c r="M104" s="58" t="str">
        <f t="shared" si="6"/>
        <v>Low</v>
      </c>
      <c r="N104" s="96"/>
      <c r="O104" s="100"/>
      <c r="P104" s="100"/>
      <c r="Q104" s="100"/>
      <c r="R104" s="65"/>
      <c r="S104" s="154" t="str">
        <f t="shared" si="5"/>
        <v/>
      </c>
      <c r="U104" s="135"/>
      <c r="V104" s="151"/>
    </row>
    <row r="105" spans="1:22" ht="25">
      <c r="A105" s="95" t="s">
        <v>561</v>
      </c>
      <c r="B105" s="95" t="s">
        <v>372</v>
      </c>
      <c r="C105" s="95" t="s">
        <v>562</v>
      </c>
      <c r="D105" s="304" t="s">
        <v>270</v>
      </c>
      <c r="E105" s="95" t="s">
        <v>563</v>
      </c>
      <c r="F105" s="47" t="s">
        <v>83</v>
      </c>
      <c r="G105" s="47" t="s">
        <v>84</v>
      </c>
      <c r="H105" s="58">
        <f>IF(F105='Risk Methedology Matrix'!B$26,5,IF(F105='Risk Methedology Matrix'!B$27,4,IF(F105='Risk Methedology Matrix'!B$28,3,IF(F105='Risk Methedology Matrix'!B$29,2,IF(F105='Risk Methedology Matrix'!B$30,1,0)))))</f>
        <v>4</v>
      </c>
      <c r="I105" s="58">
        <f>IF(G105='Risk Methedology Matrix'!G$25,5,IF(G105='Risk Methedology Matrix'!F$25,4,IF(G105='Risk Methedology Matrix'!E$25,3,IF(G105='Risk Methedology Matrix'!D$25,2,IF(G105='Risk Methedology Matrix'!C$25,1,0)))))</f>
        <v>4</v>
      </c>
      <c r="J105" s="58" t="str">
        <f t="shared" si="7"/>
        <v>High</v>
      </c>
      <c r="K105" s="96" t="s">
        <v>564</v>
      </c>
      <c r="L105" s="47" t="s">
        <v>169</v>
      </c>
      <c r="M105" s="58" t="str">
        <f t="shared" si="6"/>
        <v>Low</v>
      </c>
      <c r="N105" s="96"/>
      <c r="O105" s="100"/>
      <c r="P105" s="100"/>
      <c r="Q105" s="100"/>
      <c r="R105" s="65"/>
      <c r="S105" s="154" t="str">
        <f t="shared" si="5"/>
        <v/>
      </c>
      <c r="U105" s="135"/>
      <c r="V105" s="151"/>
    </row>
    <row r="106" spans="1:22" ht="25">
      <c r="A106" s="95" t="s">
        <v>565</v>
      </c>
      <c r="B106" s="95" t="s">
        <v>355</v>
      </c>
      <c r="C106" s="95" t="s">
        <v>566</v>
      </c>
      <c r="D106" s="304" t="s">
        <v>270</v>
      </c>
      <c r="E106" s="95" t="s">
        <v>567</v>
      </c>
      <c r="F106" s="47" t="s">
        <v>83</v>
      </c>
      <c r="G106" s="47" t="s">
        <v>84</v>
      </c>
      <c r="H106" s="58">
        <f>IF(F106='Risk Methedology Matrix'!B$26,5,IF(F106='Risk Methedology Matrix'!B$27,4,IF(F106='Risk Methedology Matrix'!B$28,3,IF(F106='Risk Methedology Matrix'!B$29,2,IF(F106='Risk Methedology Matrix'!B$30,1,0)))))</f>
        <v>4</v>
      </c>
      <c r="I106" s="58">
        <f>IF(G106='Risk Methedology Matrix'!G$25,5,IF(G106='Risk Methedology Matrix'!F$25,4,IF(G106='Risk Methedology Matrix'!E$25,3,IF(G106='Risk Methedology Matrix'!D$25,2,IF(G106='Risk Methedology Matrix'!C$25,1,0)))))</f>
        <v>4</v>
      </c>
      <c r="J106" s="58" t="str">
        <f t="shared" si="7"/>
        <v>High</v>
      </c>
      <c r="K106" s="96" t="s">
        <v>568</v>
      </c>
      <c r="L106" s="47" t="s">
        <v>169</v>
      </c>
      <c r="M106" s="58" t="str">
        <f t="shared" si="6"/>
        <v>Low</v>
      </c>
      <c r="N106" s="96"/>
      <c r="O106" s="100"/>
      <c r="P106" s="100"/>
      <c r="Q106" s="100"/>
      <c r="R106" s="65"/>
      <c r="S106" s="154" t="str">
        <f t="shared" si="5"/>
        <v/>
      </c>
      <c r="U106" s="135"/>
      <c r="V106" s="151"/>
    </row>
    <row r="107" spans="1:22" ht="25">
      <c r="A107" s="95" t="s">
        <v>569</v>
      </c>
      <c r="B107" s="95" t="s">
        <v>88</v>
      </c>
      <c r="C107" s="95" t="s">
        <v>570</v>
      </c>
      <c r="D107" s="304" t="s">
        <v>270</v>
      </c>
      <c r="E107" s="95" t="s">
        <v>571</v>
      </c>
      <c r="F107" s="47" t="s">
        <v>83</v>
      </c>
      <c r="G107" s="47" t="s">
        <v>84</v>
      </c>
      <c r="H107" s="58">
        <f>IF(F107='Risk Methedology Matrix'!B$26,5,IF(F107='Risk Methedology Matrix'!B$27,4,IF(F107='Risk Methedology Matrix'!B$28,3,IF(F107='Risk Methedology Matrix'!B$29,2,IF(F107='Risk Methedology Matrix'!B$30,1,0)))))</f>
        <v>4</v>
      </c>
      <c r="I107" s="58">
        <f>IF(G107='Risk Methedology Matrix'!G$25,5,IF(G107='Risk Methedology Matrix'!F$25,4,IF(G107='Risk Methedology Matrix'!E$25,3,IF(G107='Risk Methedology Matrix'!D$25,2,IF(G107='Risk Methedology Matrix'!C$25,1,0)))))</f>
        <v>4</v>
      </c>
      <c r="J107" s="58" t="str">
        <f t="shared" si="7"/>
        <v>High</v>
      </c>
      <c r="K107" s="96" t="s">
        <v>572</v>
      </c>
      <c r="L107" s="47" t="s">
        <v>169</v>
      </c>
      <c r="M107" s="58" t="str">
        <f t="shared" si="6"/>
        <v>Low</v>
      </c>
      <c r="N107" s="96"/>
      <c r="O107" s="100"/>
      <c r="P107" s="99"/>
      <c r="Q107" s="100"/>
      <c r="R107" s="65"/>
      <c r="S107" s="154" t="str">
        <f t="shared" si="5"/>
        <v/>
      </c>
      <c r="U107" s="153" t="s">
        <v>1185</v>
      </c>
      <c r="V107" s="152" t="s">
        <v>1196</v>
      </c>
    </row>
    <row r="108" spans="1:22" ht="25">
      <c r="A108" s="95" t="s">
        <v>573</v>
      </c>
      <c r="B108" s="95" t="s">
        <v>372</v>
      </c>
      <c r="C108" s="95" t="s">
        <v>574</v>
      </c>
      <c r="D108" s="304" t="s">
        <v>270</v>
      </c>
      <c r="E108" s="95" t="s">
        <v>575</v>
      </c>
      <c r="F108" s="47" t="s">
        <v>83</v>
      </c>
      <c r="G108" s="47" t="s">
        <v>84</v>
      </c>
      <c r="H108" s="58">
        <f>IF(F108='Risk Methedology Matrix'!B$26,5,IF(F108='Risk Methedology Matrix'!B$27,4,IF(F108='Risk Methedology Matrix'!B$28,3,IF(F108='Risk Methedology Matrix'!B$29,2,IF(F108='Risk Methedology Matrix'!B$30,1,0)))))</f>
        <v>4</v>
      </c>
      <c r="I108" s="58">
        <f>IF(G108='Risk Methedology Matrix'!G$25,5,IF(G108='Risk Methedology Matrix'!F$25,4,IF(G108='Risk Methedology Matrix'!E$25,3,IF(G108='Risk Methedology Matrix'!D$25,2,IF(G108='Risk Methedology Matrix'!C$25,1,0)))))</f>
        <v>4</v>
      </c>
      <c r="J108" s="58" t="str">
        <f t="shared" si="7"/>
        <v>High</v>
      </c>
      <c r="K108" s="96" t="s">
        <v>576</v>
      </c>
      <c r="L108" s="47" t="s">
        <v>169</v>
      </c>
      <c r="M108" s="58" t="str">
        <f t="shared" si="6"/>
        <v>Low</v>
      </c>
      <c r="N108" s="96"/>
      <c r="O108" s="100"/>
      <c r="P108" s="100"/>
      <c r="Q108" s="100"/>
      <c r="R108" s="65"/>
      <c r="S108" s="154" t="str">
        <f t="shared" si="5"/>
        <v/>
      </c>
      <c r="U108" s="135"/>
      <c r="V108" s="151"/>
    </row>
    <row r="109" spans="1:22" ht="12.5">
      <c r="A109" s="272" t="s">
        <v>578</v>
      </c>
      <c r="B109" s="272" t="s">
        <v>88</v>
      </c>
      <c r="C109" s="105" t="s">
        <v>579</v>
      </c>
      <c r="D109" s="305" t="s">
        <v>580</v>
      </c>
      <c r="E109" s="105" t="s">
        <v>581</v>
      </c>
      <c r="F109" s="47" t="s">
        <v>126</v>
      </c>
      <c r="G109" s="47" t="s">
        <v>104</v>
      </c>
      <c r="H109" s="58">
        <f>IF(F109='Risk Methedology Matrix'!B$26,5,IF(F109='Risk Methedology Matrix'!B$27,4,IF(F109='Risk Methedology Matrix'!B$28,3,IF(F109='Risk Methedology Matrix'!B$29,2,IF(F109='Risk Methedology Matrix'!B$30,1,0)))))</f>
        <v>2</v>
      </c>
      <c r="I109" s="58">
        <f>IF(G109='Risk Methedology Matrix'!G$25,5,IF(G109='Risk Methedology Matrix'!F$25,4,IF(G109='Risk Methedology Matrix'!E$25,3,IF(G109='Risk Methedology Matrix'!D$25,2,IF(G109='Risk Methedology Matrix'!C$25,1,0)))))</f>
        <v>3</v>
      </c>
      <c r="J109" s="58" t="str">
        <f t="shared" ref="J109:J137" si="8">IF(OR(F109="",G109=""),"",IF(H109*I109&gt;=20,"Very High",IF(AND(H109*I109&lt;20,H109*I109&gt;=11),"High",IF(AND(H109*I109&lt;11,H109*I109&gt;=6),"Medium",IF(AND(H109*I109&lt;6,H109*I109&gt;=3),"Low",IF(AND(H109*I109&lt;3,H109*I109&gt;=1),"Very Low",""))))))</f>
        <v>Medium</v>
      </c>
      <c r="K109" s="105" t="s">
        <v>666</v>
      </c>
      <c r="L109" s="47" t="s">
        <v>169</v>
      </c>
      <c r="M109" s="58" t="str">
        <f t="shared" si="6"/>
        <v>Very Low</v>
      </c>
      <c r="N109" s="96"/>
      <c r="O109" s="107"/>
      <c r="P109" s="108"/>
      <c r="Q109" s="104"/>
      <c r="R109" s="65"/>
      <c r="S109" s="154" t="str">
        <f t="shared" si="5"/>
        <v/>
      </c>
      <c r="U109" s="26"/>
      <c r="V109" s="26"/>
    </row>
    <row r="110" spans="1:22" ht="48">
      <c r="A110" s="272" t="s">
        <v>582</v>
      </c>
      <c r="B110" s="272" t="s">
        <v>88</v>
      </c>
      <c r="C110" s="105" t="s">
        <v>583</v>
      </c>
      <c r="D110" s="305" t="s">
        <v>580</v>
      </c>
      <c r="E110" s="105" t="s">
        <v>584</v>
      </c>
      <c r="F110" s="47" t="s">
        <v>109</v>
      </c>
      <c r="G110" s="47" t="s">
        <v>84</v>
      </c>
      <c r="H110" s="58">
        <f>IF(F110='Risk Methedology Matrix'!B$26,5,IF(F110='Risk Methedology Matrix'!B$27,4,IF(F110='Risk Methedology Matrix'!B$28,3,IF(F110='Risk Methedology Matrix'!B$29,2,IF(F110='Risk Methedology Matrix'!B$30,1,0)))))</f>
        <v>5</v>
      </c>
      <c r="I110" s="58">
        <f>IF(G110='Risk Methedology Matrix'!G$25,5,IF(G110='Risk Methedology Matrix'!F$25,4,IF(G110='Risk Methedology Matrix'!E$25,3,IF(G110='Risk Methedology Matrix'!D$25,2,IF(G110='Risk Methedology Matrix'!C$25,1,0)))))</f>
        <v>4</v>
      </c>
      <c r="J110" s="58" t="str">
        <f t="shared" si="8"/>
        <v>Very High</v>
      </c>
      <c r="K110" s="105" t="s">
        <v>667</v>
      </c>
      <c r="L110" s="47" t="s">
        <v>93</v>
      </c>
      <c r="M110" s="58" t="str">
        <f t="shared" si="6"/>
        <v>Very High</v>
      </c>
      <c r="N110" s="96"/>
      <c r="O110" s="107" t="s">
        <v>691</v>
      </c>
      <c r="P110" s="189" t="s">
        <v>1389</v>
      </c>
      <c r="Q110" s="104"/>
      <c r="R110" s="65"/>
      <c r="S110" s="154" t="str">
        <f t="shared" si="5"/>
        <v/>
      </c>
      <c r="U110" s="135" t="s">
        <v>1180</v>
      </c>
      <c r="V110" s="132" t="s">
        <v>1173</v>
      </c>
    </row>
    <row r="111" spans="1:22" ht="36">
      <c r="A111" s="272" t="s">
        <v>585</v>
      </c>
      <c r="B111" s="272" t="s">
        <v>88</v>
      </c>
      <c r="C111" s="105" t="s">
        <v>586</v>
      </c>
      <c r="D111" s="305" t="s">
        <v>580</v>
      </c>
      <c r="E111" s="105" t="s">
        <v>587</v>
      </c>
      <c r="F111" s="47" t="s">
        <v>83</v>
      </c>
      <c r="G111" s="47" t="s">
        <v>84</v>
      </c>
      <c r="H111" s="58">
        <f>IF(F111='Risk Methedology Matrix'!B$26,5,IF(F111='Risk Methedology Matrix'!B$27,4,IF(F111='Risk Methedology Matrix'!B$28,3,IF(F111='Risk Methedology Matrix'!B$29,2,IF(F111='Risk Methedology Matrix'!B$30,1,0)))))</f>
        <v>4</v>
      </c>
      <c r="I111" s="58">
        <f>IF(G111='Risk Methedology Matrix'!G$25,5,IF(G111='Risk Methedology Matrix'!F$25,4,IF(G111='Risk Methedology Matrix'!E$25,3,IF(G111='Risk Methedology Matrix'!D$25,2,IF(G111='Risk Methedology Matrix'!C$25,1,0)))))</f>
        <v>4</v>
      </c>
      <c r="J111" s="58" t="str">
        <f t="shared" si="8"/>
        <v>High</v>
      </c>
      <c r="K111" s="49" t="s">
        <v>1794</v>
      </c>
      <c r="L111" s="47" t="s">
        <v>169</v>
      </c>
      <c r="M111" s="58" t="str">
        <f t="shared" si="6"/>
        <v>Low</v>
      </c>
      <c r="N111" s="96"/>
      <c r="O111" s="107"/>
      <c r="P111" s="109"/>
      <c r="Q111" s="104"/>
      <c r="R111" s="65" t="s">
        <v>169</v>
      </c>
      <c r="S111" s="154" t="str">
        <f t="shared" si="5"/>
        <v>Low</v>
      </c>
      <c r="U111" s="26" t="s">
        <v>1215</v>
      </c>
      <c r="V111" s="132" t="s">
        <v>1174</v>
      </c>
    </row>
    <row r="112" spans="1:22" ht="40" customHeight="1">
      <c r="A112" s="272" t="s">
        <v>588</v>
      </c>
      <c r="B112" s="272" t="s">
        <v>79</v>
      </c>
      <c r="C112" s="105" t="s">
        <v>589</v>
      </c>
      <c r="D112" s="305" t="s">
        <v>580</v>
      </c>
      <c r="E112" s="105" t="s">
        <v>590</v>
      </c>
      <c r="F112" s="47" t="s">
        <v>114</v>
      </c>
      <c r="G112" s="47" t="s">
        <v>84</v>
      </c>
      <c r="H112" s="58">
        <f>IF(F112='Risk Methedology Matrix'!B$26,5,IF(F112='Risk Methedology Matrix'!B$27,4,IF(F112='Risk Methedology Matrix'!B$28,3,IF(F112='Risk Methedology Matrix'!B$29,2,IF(F112='Risk Methedology Matrix'!B$30,1,0)))))</f>
        <v>3</v>
      </c>
      <c r="I112" s="58">
        <f>IF(G112='Risk Methedology Matrix'!G$25,5,IF(G112='Risk Methedology Matrix'!F$25,4,IF(G112='Risk Methedology Matrix'!E$25,3,IF(G112='Risk Methedology Matrix'!D$25,2,IF(G112='Risk Methedology Matrix'!C$25,1,0)))))</f>
        <v>4</v>
      </c>
      <c r="J112" s="58" t="str">
        <f t="shared" si="8"/>
        <v>High</v>
      </c>
      <c r="K112" s="49" t="s">
        <v>1795</v>
      </c>
      <c r="L112" s="47" t="s">
        <v>169</v>
      </c>
      <c r="M112" s="58" t="str">
        <f t="shared" si="6"/>
        <v>Low</v>
      </c>
      <c r="N112" s="96"/>
      <c r="O112" s="107"/>
      <c r="P112" s="109"/>
      <c r="Q112" s="104"/>
      <c r="R112" s="65" t="s">
        <v>169</v>
      </c>
      <c r="S112" s="154" t="str">
        <f t="shared" si="5"/>
        <v>Low</v>
      </c>
      <c r="U112" s="135" t="s">
        <v>1197</v>
      </c>
      <c r="V112" s="132" t="s">
        <v>1175</v>
      </c>
    </row>
    <row r="113" spans="1:22" ht="43.5" customHeight="1">
      <c r="A113" s="272" t="s">
        <v>591</v>
      </c>
      <c r="B113" s="272" t="s">
        <v>79</v>
      </c>
      <c r="C113" s="105" t="s">
        <v>592</v>
      </c>
      <c r="D113" s="305" t="s">
        <v>580</v>
      </c>
      <c r="E113" s="105" t="s">
        <v>593</v>
      </c>
      <c r="F113" s="47" t="s">
        <v>114</v>
      </c>
      <c r="G113" s="47" t="s">
        <v>104</v>
      </c>
      <c r="H113" s="58">
        <f>IF(F113='Risk Methedology Matrix'!B$26,5,IF(F113='Risk Methedology Matrix'!B$27,4,IF(F113='Risk Methedology Matrix'!B$28,3,IF(F113='Risk Methedology Matrix'!B$29,2,IF(F113='Risk Methedology Matrix'!B$30,1,0)))))</f>
        <v>3</v>
      </c>
      <c r="I113" s="58">
        <f>IF(G113='Risk Methedology Matrix'!G$25,5,IF(G113='Risk Methedology Matrix'!F$25,4,IF(G113='Risk Methedology Matrix'!E$25,3,IF(G113='Risk Methedology Matrix'!D$25,2,IF(G113='Risk Methedology Matrix'!C$25,1,0)))))</f>
        <v>3</v>
      </c>
      <c r="J113" s="58" t="str">
        <f t="shared" si="8"/>
        <v>Medium</v>
      </c>
      <c r="K113" s="105" t="s">
        <v>668</v>
      </c>
      <c r="L113" s="47" t="s">
        <v>169</v>
      </c>
      <c r="M113" s="58" t="str">
        <f t="shared" si="6"/>
        <v>Very Low</v>
      </c>
      <c r="N113" s="96"/>
      <c r="O113" s="107"/>
      <c r="P113" s="108"/>
      <c r="Q113" s="104"/>
      <c r="R113" s="65"/>
      <c r="S113" s="154" t="str">
        <f t="shared" si="5"/>
        <v/>
      </c>
      <c r="U113" s="26"/>
      <c r="V113" s="26"/>
    </row>
    <row r="114" spans="1:22" ht="48">
      <c r="A114" s="272" t="s">
        <v>594</v>
      </c>
      <c r="B114" s="272" t="s">
        <v>88</v>
      </c>
      <c r="C114" s="105" t="s">
        <v>595</v>
      </c>
      <c r="D114" s="305" t="s">
        <v>580</v>
      </c>
      <c r="E114" s="105" t="s">
        <v>596</v>
      </c>
      <c r="F114" s="47" t="s">
        <v>109</v>
      </c>
      <c r="G114" s="47" t="s">
        <v>84</v>
      </c>
      <c r="H114" s="58">
        <f>IF(F114='Risk Methedology Matrix'!B$26,5,IF(F114='Risk Methedology Matrix'!B$27,4,IF(F114='Risk Methedology Matrix'!B$28,3,IF(F114='Risk Methedology Matrix'!B$29,2,IF(F114='Risk Methedology Matrix'!B$30,1,0)))))</f>
        <v>5</v>
      </c>
      <c r="I114" s="58">
        <f>IF(G114='Risk Methedology Matrix'!G$25,5,IF(G114='Risk Methedology Matrix'!F$25,4,IF(G114='Risk Methedology Matrix'!E$25,3,IF(G114='Risk Methedology Matrix'!D$25,2,IF(G114='Risk Methedology Matrix'!C$25,1,0)))))</f>
        <v>4</v>
      </c>
      <c r="J114" s="58" t="str">
        <f t="shared" si="8"/>
        <v>Very High</v>
      </c>
      <c r="K114" s="105" t="s">
        <v>669</v>
      </c>
      <c r="L114" s="47" t="s">
        <v>93</v>
      </c>
      <c r="M114" s="58" t="str">
        <f t="shared" si="6"/>
        <v>Very High</v>
      </c>
      <c r="N114" s="96"/>
      <c r="O114" s="110" t="s">
        <v>692</v>
      </c>
      <c r="P114" s="189" t="s">
        <v>1389</v>
      </c>
      <c r="Q114" s="104"/>
      <c r="R114" s="65"/>
      <c r="S114" s="154" t="str">
        <f t="shared" si="5"/>
        <v/>
      </c>
      <c r="U114" s="135" t="s">
        <v>1180</v>
      </c>
      <c r="V114" s="132" t="s">
        <v>1176</v>
      </c>
    </row>
    <row r="115" spans="1:22" ht="60">
      <c r="A115" s="272" t="s">
        <v>597</v>
      </c>
      <c r="B115" s="272" t="s">
        <v>88</v>
      </c>
      <c r="C115" s="105" t="s">
        <v>598</v>
      </c>
      <c r="D115" s="305" t="s">
        <v>580</v>
      </c>
      <c r="E115" s="105" t="s">
        <v>599</v>
      </c>
      <c r="F115" s="47" t="s">
        <v>109</v>
      </c>
      <c r="G115" s="47" t="s">
        <v>84</v>
      </c>
      <c r="H115" s="58">
        <f>IF(F115='Risk Methedology Matrix'!B$26,5,IF(F115='Risk Methedology Matrix'!B$27,4,IF(F115='Risk Methedology Matrix'!B$28,3,IF(F115='Risk Methedology Matrix'!B$29,2,IF(F115='Risk Methedology Matrix'!B$30,1,0)))))</f>
        <v>5</v>
      </c>
      <c r="I115" s="58">
        <f>IF(G115='Risk Methedology Matrix'!G$25,5,IF(G115='Risk Methedology Matrix'!F$25,4,IF(G115='Risk Methedology Matrix'!E$25,3,IF(G115='Risk Methedology Matrix'!D$25,2,IF(G115='Risk Methedology Matrix'!C$25,1,0)))))</f>
        <v>4</v>
      </c>
      <c r="J115" s="58" t="str">
        <f t="shared" si="8"/>
        <v>Very High</v>
      </c>
      <c r="K115" s="105" t="s">
        <v>670</v>
      </c>
      <c r="L115" s="47" t="s">
        <v>93</v>
      </c>
      <c r="M115" s="58" t="str">
        <f t="shared" si="6"/>
        <v>Very High</v>
      </c>
      <c r="N115" s="96"/>
      <c r="O115" s="107" t="s">
        <v>693</v>
      </c>
      <c r="P115" s="189" t="s">
        <v>1390</v>
      </c>
      <c r="Q115" s="104"/>
      <c r="R115" s="65"/>
      <c r="S115" s="154" t="str">
        <f t="shared" si="5"/>
        <v/>
      </c>
      <c r="U115" s="135" t="s">
        <v>1180</v>
      </c>
      <c r="V115" s="132" t="s">
        <v>1177</v>
      </c>
    </row>
    <row r="116" spans="1:22" ht="36">
      <c r="A116" s="272" t="s">
        <v>600</v>
      </c>
      <c r="B116" s="272" t="s">
        <v>88</v>
      </c>
      <c r="C116" s="105" t="s">
        <v>601</v>
      </c>
      <c r="D116" s="305" t="s">
        <v>580</v>
      </c>
      <c r="E116" s="105" t="s">
        <v>602</v>
      </c>
      <c r="F116" s="47" t="s">
        <v>83</v>
      </c>
      <c r="G116" s="47" t="s">
        <v>92</v>
      </c>
      <c r="H116" s="58">
        <f>IF(F116='Risk Methedology Matrix'!B$26,5,IF(F116='Risk Methedology Matrix'!B$27,4,IF(F116='Risk Methedology Matrix'!B$28,3,IF(F116='Risk Methedology Matrix'!B$29,2,IF(F116='Risk Methedology Matrix'!B$30,1,0)))))</f>
        <v>4</v>
      </c>
      <c r="I116" s="58">
        <f>IF(G116='Risk Methedology Matrix'!G$25,5,IF(G116='Risk Methedology Matrix'!F$25,4,IF(G116='Risk Methedology Matrix'!E$25,3,IF(G116='Risk Methedology Matrix'!D$25,2,IF(G116='Risk Methedology Matrix'!C$25,1,0)))))</f>
        <v>5</v>
      </c>
      <c r="J116" s="58" t="str">
        <f t="shared" si="8"/>
        <v>Very High</v>
      </c>
      <c r="K116" s="105" t="s">
        <v>671</v>
      </c>
      <c r="L116" s="47" t="s">
        <v>93</v>
      </c>
      <c r="M116" s="58" t="str">
        <f t="shared" si="6"/>
        <v>Very High</v>
      </c>
      <c r="N116" s="96"/>
      <c r="O116" s="107" t="s">
        <v>694</v>
      </c>
      <c r="P116" s="189" t="s">
        <v>1390</v>
      </c>
      <c r="Q116" s="104"/>
      <c r="R116" s="65"/>
      <c r="S116" s="154" t="str">
        <f t="shared" si="5"/>
        <v/>
      </c>
      <c r="U116" s="135" t="s">
        <v>1180</v>
      </c>
      <c r="V116" s="190" t="s">
        <v>1391</v>
      </c>
    </row>
    <row r="117" spans="1:22" ht="24">
      <c r="A117" s="272" t="s">
        <v>603</v>
      </c>
      <c r="B117" s="272" t="s">
        <v>88</v>
      </c>
      <c r="C117" s="105" t="s">
        <v>604</v>
      </c>
      <c r="D117" s="305" t="s">
        <v>580</v>
      </c>
      <c r="E117" s="105" t="s">
        <v>605</v>
      </c>
      <c r="F117" s="47" t="s">
        <v>83</v>
      </c>
      <c r="G117" s="47" t="s">
        <v>84</v>
      </c>
      <c r="H117" s="58">
        <f>IF(F117='Risk Methedology Matrix'!B$26,5,IF(F117='Risk Methedology Matrix'!B$27,4,IF(F117='Risk Methedology Matrix'!B$28,3,IF(F117='Risk Methedology Matrix'!B$29,2,IF(F117='Risk Methedology Matrix'!B$30,1,0)))))</f>
        <v>4</v>
      </c>
      <c r="I117" s="58">
        <f>IF(G117='Risk Methedology Matrix'!G$25,5,IF(G117='Risk Methedology Matrix'!F$25,4,IF(G117='Risk Methedology Matrix'!E$25,3,IF(G117='Risk Methedology Matrix'!D$25,2,IF(G117='Risk Methedology Matrix'!C$25,1,0)))))</f>
        <v>4</v>
      </c>
      <c r="J117" s="58" t="str">
        <f t="shared" si="8"/>
        <v>High</v>
      </c>
      <c r="K117" s="49" t="s">
        <v>1796</v>
      </c>
      <c r="L117" s="47" t="s">
        <v>169</v>
      </c>
      <c r="M117" s="58" t="str">
        <f t="shared" si="6"/>
        <v>Low</v>
      </c>
      <c r="N117" s="96"/>
      <c r="O117" s="107"/>
      <c r="P117" s="109"/>
      <c r="Q117" s="104"/>
      <c r="R117" s="65" t="s">
        <v>169</v>
      </c>
      <c r="S117" s="154" t="str">
        <f t="shared" si="5"/>
        <v>Low</v>
      </c>
      <c r="U117" s="26" t="s">
        <v>1185</v>
      </c>
      <c r="V117" s="188" t="s">
        <v>1388</v>
      </c>
    </row>
    <row r="118" spans="1:22" ht="48">
      <c r="A118" s="272" t="s">
        <v>606</v>
      </c>
      <c r="B118" s="272" t="s">
        <v>88</v>
      </c>
      <c r="C118" s="105" t="s">
        <v>607</v>
      </c>
      <c r="D118" s="305" t="s">
        <v>580</v>
      </c>
      <c r="E118" s="105" t="s">
        <v>608</v>
      </c>
      <c r="F118" s="47" t="s">
        <v>83</v>
      </c>
      <c r="G118" s="47" t="s">
        <v>104</v>
      </c>
      <c r="H118" s="58">
        <f>IF(F118='Risk Methedology Matrix'!B$26,5,IF(F118='Risk Methedology Matrix'!B$27,4,IF(F118='Risk Methedology Matrix'!B$28,3,IF(F118='Risk Methedology Matrix'!B$29,2,IF(F118='Risk Methedology Matrix'!B$30,1,0)))))</f>
        <v>4</v>
      </c>
      <c r="I118" s="58">
        <f>IF(G118='Risk Methedology Matrix'!G$25,5,IF(G118='Risk Methedology Matrix'!F$25,4,IF(G118='Risk Methedology Matrix'!E$25,3,IF(G118='Risk Methedology Matrix'!D$25,2,IF(G118='Risk Methedology Matrix'!C$25,1,0)))))</f>
        <v>3</v>
      </c>
      <c r="J118" s="58" t="str">
        <f t="shared" si="8"/>
        <v>High</v>
      </c>
      <c r="K118" s="105" t="s">
        <v>672</v>
      </c>
      <c r="L118" s="47" t="s">
        <v>169</v>
      </c>
      <c r="M118" s="58" t="str">
        <f t="shared" si="6"/>
        <v>Low</v>
      </c>
      <c r="N118" s="96"/>
      <c r="O118" s="107"/>
      <c r="P118" s="109"/>
      <c r="Q118" s="104"/>
      <c r="R118" s="65" t="s">
        <v>169</v>
      </c>
      <c r="S118" s="154" t="str">
        <f t="shared" si="5"/>
        <v>Low</v>
      </c>
      <c r="U118" s="135" t="s">
        <v>1181</v>
      </c>
      <c r="V118" s="133" t="s">
        <v>1178</v>
      </c>
    </row>
    <row r="119" spans="1:22" ht="36">
      <c r="A119" s="272" t="s">
        <v>609</v>
      </c>
      <c r="B119" s="272" t="s">
        <v>88</v>
      </c>
      <c r="C119" s="105" t="s">
        <v>610</v>
      </c>
      <c r="D119" s="305" t="s">
        <v>580</v>
      </c>
      <c r="E119" s="105" t="s">
        <v>611</v>
      </c>
      <c r="F119" s="47" t="s">
        <v>83</v>
      </c>
      <c r="G119" s="47" t="s">
        <v>84</v>
      </c>
      <c r="H119" s="58">
        <f>IF(F119='Risk Methedology Matrix'!B$26,5,IF(F119='Risk Methedology Matrix'!B$27,4,IF(F119='Risk Methedology Matrix'!B$28,3,IF(F119='Risk Methedology Matrix'!B$29,2,IF(F119='Risk Methedology Matrix'!B$30,1,0)))))</f>
        <v>4</v>
      </c>
      <c r="I119" s="58">
        <f>IF(G119='Risk Methedology Matrix'!G$25,5,IF(G119='Risk Methedology Matrix'!F$25,4,IF(G119='Risk Methedology Matrix'!E$25,3,IF(G119='Risk Methedology Matrix'!D$25,2,IF(G119='Risk Methedology Matrix'!C$25,1,0)))))</f>
        <v>4</v>
      </c>
      <c r="J119" s="58" t="str">
        <f t="shared" si="8"/>
        <v>High</v>
      </c>
      <c r="K119" s="105" t="s">
        <v>673</v>
      </c>
      <c r="L119" s="47" t="s">
        <v>93</v>
      </c>
      <c r="M119" s="58" t="str">
        <f t="shared" si="6"/>
        <v>High</v>
      </c>
      <c r="N119" s="96"/>
      <c r="O119" s="107" t="s">
        <v>695</v>
      </c>
      <c r="P119" s="189" t="s">
        <v>1390</v>
      </c>
      <c r="Q119" s="104"/>
      <c r="R119" s="65"/>
      <c r="S119" s="154" t="str">
        <f t="shared" si="5"/>
        <v/>
      </c>
      <c r="U119" s="135" t="s">
        <v>1180</v>
      </c>
      <c r="V119" s="132" t="s">
        <v>1179</v>
      </c>
    </row>
    <row r="120" spans="1:22" ht="12.5">
      <c r="A120" s="272" t="s">
        <v>612</v>
      </c>
      <c r="B120" s="272" t="s">
        <v>88</v>
      </c>
      <c r="C120" s="105" t="s">
        <v>613</v>
      </c>
      <c r="D120" s="305" t="s">
        <v>580</v>
      </c>
      <c r="E120" s="105" t="s">
        <v>614</v>
      </c>
      <c r="F120" s="47" t="s">
        <v>83</v>
      </c>
      <c r="G120" s="47" t="s">
        <v>92</v>
      </c>
      <c r="H120" s="58">
        <f>IF(F120='Risk Methedology Matrix'!B$26,5,IF(F120='Risk Methedology Matrix'!B$27,4,IF(F120='Risk Methedology Matrix'!B$28,3,IF(F120='Risk Methedology Matrix'!B$29,2,IF(F120='Risk Methedology Matrix'!B$30,1,0)))))</f>
        <v>4</v>
      </c>
      <c r="I120" s="58">
        <f>IF(G120='Risk Methedology Matrix'!G$25,5,IF(G120='Risk Methedology Matrix'!F$25,4,IF(G120='Risk Methedology Matrix'!E$25,3,IF(G120='Risk Methedology Matrix'!D$25,2,IF(G120='Risk Methedology Matrix'!C$25,1,0)))))</f>
        <v>5</v>
      </c>
      <c r="J120" s="58" t="str">
        <f t="shared" si="8"/>
        <v>Very High</v>
      </c>
      <c r="K120" s="105" t="s">
        <v>674</v>
      </c>
      <c r="L120" s="47" t="s">
        <v>98</v>
      </c>
      <c r="M120" s="58" t="str">
        <f t="shared" si="6"/>
        <v>Low</v>
      </c>
      <c r="N120" s="96"/>
      <c r="O120" s="107"/>
      <c r="P120" s="108"/>
      <c r="Q120" s="104"/>
      <c r="R120" s="65"/>
      <c r="S120" s="154" t="str">
        <f t="shared" si="5"/>
        <v/>
      </c>
      <c r="U120" s="26"/>
      <c r="V120" s="26"/>
    </row>
    <row r="121" spans="1:22" ht="36">
      <c r="A121" s="272" t="s">
        <v>615</v>
      </c>
      <c r="B121" s="272" t="s">
        <v>88</v>
      </c>
      <c r="C121" s="105" t="s">
        <v>616</v>
      </c>
      <c r="D121" s="305" t="s">
        <v>580</v>
      </c>
      <c r="E121" s="105" t="s">
        <v>617</v>
      </c>
      <c r="F121" s="47" t="s">
        <v>114</v>
      </c>
      <c r="G121" s="47" t="s">
        <v>84</v>
      </c>
      <c r="H121" s="58">
        <f>IF(F121='Risk Methedology Matrix'!B$26,5,IF(F121='Risk Methedology Matrix'!B$27,4,IF(F121='Risk Methedology Matrix'!B$28,3,IF(F121='Risk Methedology Matrix'!B$29,2,IF(F121='Risk Methedology Matrix'!B$30,1,0)))))</f>
        <v>3</v>
      </c>
      <c r="I121" s="58">
        <f>IF(G121='Risk Methedology Matrix'!G$25,5,IF(G121='Risk Methedology Matrix'!F$25,4,IF(G121='Risk Methedology Matrix'!E$25,3,IF(G121='Risk Methedology Matrix'!D$25,2,IF(G121='Risk Methedology Matrix'!C$25,1,0)))))</f>
        <v>4</v>
      </c>
      <c r="J121" s="58" t="str">
        <f t="shared" si="8"/>
        <v>High</v>
      </c>
      <c r="K121" s="105" t="s">
        <v>675</v>
      </c>
      <c r="L121" s="47" t="s">
        <v>93</v>
      </c>
      <c r="M121" s="58" t="str">
        <f t="shared" si="6"/>
        <v>High</v>
      </c>
      <c r="N121" s="96"/>
      <c r="O121" s="107" t="s">
        <v>696</v>
      </c>
      <c r="P121" s="189" t="s">
        <v>1390</v>
      </c>
      <c r="Q121" s="104"/>
      <c r="R121" s="65"/>
      <c r="S121" s="154" t="str">
        <f t="shared" si="5"/>
        <v/>
      </c>
      <c r="U121" s="135" t="s">
        <v>1180</v>
      </c>
      <c r="V121" s="149" t="s">
        <v>1392</v>
      </c>
    </row>
    <row r="122" spans="1:22" ht="36">
      <c r="A122" s="272" t="s">
        <v>618</v>
      </c>
      <c r="B122" s="272" t="s">
        <v>88</v>
      </c>
      <c r="C122" s="106" t="s">
        <v>619</v>
      </c>
      <c r="D122" s="305" t="s">
        <v>580</v>
      </c>
      <c r="E122" s="105" t="s">
        <v>620</v>
      </c>
      <c r="F122" s="47" t="s">
        <v>114</v>
      </c>
      <c r="G122" s="47" t="s">
        <v>104</v>
      </c>
      <c r="H122" s="58">
        <f>IF(F122='Risk Methedology Matrix'!B$26,5,IF(F122='Risk Methedology Matrix'!B$27,4,IF(F122='Risk Methedology Matrix'!B$28,3,IF(F122='Risk Methedology Matrix'!B$29,2,IF(F122='Risk Methedology Matrix'!B$30,1,0)))))</f>
        <v>3</v>
      </c>
      <c r="I122" s="58">
        <f>IF(G122='Risk Methedology Matrix'!G$25,5,IF(G122='Risk Methedology Matrix'!F$25,4,IF(G122='Risk Methedology Matrix'!E$25,3,IF(G122='Risk Methedology Matrix'!D$25,2,IF(G122='Risk Methedology Matrix'!C$25,1,0)))))</f>
        <v>3</v>
      </c>
      <c r="J122" s="58" t="str">
        <f t="shared" si="8"/>
        <v>Medium</v>
      </c>
      <c r="K122" s="105" t="s">
        <v>676</v>
      </c>
      <c r="L122" s="47" t="s">
        <v>169</v>
      </c>
      <c r="M122" s="58" t="str">
        <f t="shared" si="6"/>
        <v>Very Low</v>
      </c>
      <c r="N122" s="96"/>
      <c r="O122" s="107"/>
      <c r="P122" s="109"/>
      <c r="Q122" s="104"/>
      <c r="R122" s="65" t="s">
        <v>169</v>
      </c>
      <c r="S122" s="154" t="str">
        <f t="shared" si="5"/>
        <v>Low</v>
      </c>
      <c r="U122" s="135" t="s">
        <v>1181</v>
      </c>
      <c r="V122" s="133" t="s">
        <v>1182</v>
      </c>
    </row>
    <row r="123" spans="1:22" ht="24">
      <c r="A123" s="272" t="s">
        <v>621</v>
      </c>
      <c r="B123" s="272" t="s">
        <v>79</v>
      </c>
      <c r="C123" s="106" t="s">
        <v>622</v>
      </c>
      <c r="D123" s="305" t="s">
        <v>580</v>
      </c>
      <c r="E123" s="105" t="s">
        <v>623</v>
      </c>
      <c r="F123" s="47" t="s">
        <v>114</v>
      </c>
      <c r="G123" s="47" t="s">
        <v>104</v>
      </c>
      <c r="H123" s="58">
        <f>IF(F123='Risk Methedology Matrix'!B$26,5,IF(F123='Risk Methedology Matrix'!B$27,4,IF(F123='Risk Methedology Matrix'!B$28,3,IF(F123='Risk Methedology Matrix'!B$29,2,IF(F123='Risk Methedology Matrix'!B$30,1,0)))))</f>
        <v>3</v>
      </c>
      <c r="I123" s="58">
        <f>IF(G123='Risk Methedology Matrix'!G$25,5,IF(G123='Risk Methedology Matrix'!F$25,4,IF(G123='Risk Methedology Matrix'!E$25,3,IF(G123='Risk Methedology Matrix'!D$25,2,IF(G123='Risk Methedology Matrix'!C$25,1,0)))))</f>
        <v>3</v>
      </c>
      <c r="J123" s="58" t="str">
        <f t="shared" si="8"/>
        <v>Medium</v>
      </c>
      <c r="K123" s="105" t="s">
        <v>677</v>
      </c>
      <c r="L123" s="47" t="s">
        <v>169</v>
      </c>
      <c r="M123" s="58" t="str">
        <f t="shared" si="6"/>
        <v>Very Low</v>
      </c>
      <c r="N123" s="96"/>
      <c r="O123" s="107"/>
      <c r="P123" s="109"/>
      <c r="Q123" s="104"/>
      <c r="R123" s="65" t="s">
        <v>169</v>
      </c>
      <c r="S123" s="154" t="str">
        <f t="shared" si="5"/>
        <v>Low</v>
      </c>
      <c r="U123" s="135" t="s">
        <v>1181</v>
      </c>
      <c r="V123" s="133" t="s">
        <v>1183</v>
      </c>
    </row>
    <row r="124" spans="1:22" ht="12.5">
      <c r="A124" s="272" t="s">
        <v>624</v>
      </c>
      <c r="B124" s="272" t="s">
        <v>88</v>
      </c>
      <c r="C124" s="106" t="s">
        <v>625</v>
      </c>
      <c r="D124" s="305" t="s">
        <v>580</v>
      </c>
      <c r="E124" s="105" t="s">
        <v>626</v>
      </c>
      <c r="F124" s="47" t="s">
        <v>114</v>
      </c>
      <c r="G124" s="47" t="s">
        <v>104</v>
      </c>
      <c r="H124" s="58">
        <f>IF(F124='Risk Methedology Matrix'!B$26,5,IF(F124='Risk Methedology Matrix'!B$27,4,IF(F124='Risk Methedology Matrix'!B$28,3,IF(F124='Risk Methedology Matrix'!B$29,2,IF(F124='Risk Methedology Matrix'!B$30,1,0)))))</f>
        <v>3</v>
      </c>
      <c r="I124" s="58">
        <f>IF(G124='Risk Methedology Matrix'!G$25,5,IF(G124='Risk Methedology Matrix'!F$25,4,IF(G124='Risk Methedology Matrix'!E$25,3,IF(G124='Risk Methedology Matrix'!D$25,2,IF(G124='Risk Methedology Matrix'!C$25,1,0)))))</f>
        <v>3</v>
      </c>
      <c r="J124" s="58" t="str">
        <f t="shared" si="8"/>
        <v>Medium</v>
      </c>
      <c r="K124" s="105" t="s">
        <v>678</v>
      </c>
      <c r="L124" s="47" t="s">
        <v>169</v>
      </c>
      <c r="M124" s="58" t="str">
        <f t="shared" si="6"/>
        <v>Very Low</v>
      </c>
      <c r="N124" s="96"/>
      <c r="O124" s="107"/>
      <c r="P124" s="111"/>
      <c r="Q124" s="104"/>
      <c r="R124" s="65"/>
      <c r="S124" s="154" t="str">
        <f t="shared" si="5"/>
        <v/>
      </c>
      <c r="U124" s="26"/>
      <c r="V124" s="26"/>
    </row>
    <row r="125" spans="1:22" ht="24">
      <c r="A125" s="272" t="s">
        <v>627</v>
      </c>
      <c r="B125" s="272" t="s">
        <v>88</v>
      </c>
      <c r="C125" s="106" t="s">
        <v>628</v>
      </c>
      <c r="D125" s="305" t="s">
        <v>580</v>
      </c>
      <c r="E125" s="105" t="s">
        <v>629</v>
      </c>
      <c r="F125" s="47" t="s">
        <v>114</v>
      </c>
      <c r="G125" s="47" t="s">
        <v>84</v>
      </c>
      <c r="H125" s="58">
        <f>IF(F125='Risk Methedology Matrix'!B$26,5,IF(F125='Risk Methedology Matrix'!B$27,4,IF(F125='Risk Methedology Matrix'!B$28,3,IF(F125='Risk Methedology Matrix'!B$29,2,IF(F125='Risk Methedology Matrix'!B$30,1,0)))))</f>
        <v>3</v>
      </c>
      <c r="I125" s="58">
        <f>IF(G125='Risk Methedology Matrix'!G$25,5,IF(G125='Risk Methedology Matrix'!F$25,4,IF(G125='Risk Methedology Matrix'!E$25,3,IF(G125='Risk Methedology Matrix'!D$25,2,IF(G125='Risk Methedology Matrix'!C$25,1,0)))))</f>
        <v>4</v>
      </c>
      <c r="J125" s="58" t="str">
        <f t="shared" si="8"/>
        <v>High</v>
      </c>
      <c r="K125" s="49" t="s">
        <v>1797</v>
      </c>
      <c r="L125" s="47" t="s">
        <v>169</v>
      </c>
      <c r="M125" s="58" t="str">
        <f t="shared" si="6"/>
        <v>Low</v>
      </c>
      <c r="N125" s="96"/>
      <c r="O125" s="107"/>
      <c r="P125" s="109"/>
      <c r="Q125" s="104"/>
      <c r="R125" s="65" t="s">
        <v>169</v>
      </c>
      <c r="S125" s="154" t="str">
        <f t="shared" si="5"/>
        <v>Low</v>
      </c>
      <c r="U125" s="135" t="s">
        <v>1181</v>
      </c>
      <c r="V125" s="133" t="s">
        <v>1184</v>
      </c>
    </row>
    <row r="126" spans="1:22" ht="12.5">
      <c r="A126" s="272" t="s">
        <v>630</v>
      </c>
      <c r="B126" s="272" t="s">
        <v>88</v>
      </c>
      <c r="C126" s="106" t="s">
        <v>631</v>
      </c>
      <c r="D126" s="305" t="s">
        <v>580</v>
      </c>
      <c r="E126" s="105" t="s">
        <v>632</v>
      </c>
      <c r="F126" s="47" t="s">
        <v>114</v>
      </c>
      <c r="G126" s="47" t="s">
        <v>104</v>
      </c>
      <c r="H126" s="58">
        <f>IF(F126='Risk Methedology Matrix'!B$26,5,IF(F126='Risk Methedology Matrix'!B$27,4,IF(F126='Risk Methedology Matrix'!B$28,3,IF(F126='Risk Methedology Matrix'!B$29,2,IF(F126='Risk Methedology Matrix'!B$30,1,0)))))</f>
        <v>3</v>
      </c>
      <c r="I126" s="58">
        <f>IF(G126='Risk Methedology Matrix'!G$25,5,IF(G126='Risk Methedology Matrix'!F$25,4,IF(G126='Risk Methedology Matrix'!E$25,3,IF(G126='Risk Methedology Matrix'!D$25,2,IF(G126='Risk Methedology Matrix'!C$25,1,0)))))</f>
        <v>3</v>
      </c>
      <c r="J126" s="58" t="str">
        <f t="shared" si="8"/>
        <v>Medium</v>
      </c>
      <c r="K126" s="105" t="s">
        <v>679</v>
      </c>
      <c r="L126" s="47" t="s">
        <v>85</v>
      </c>
      <c r="M126" s="58" t="str">
        <f t="shared" si="6"/>
        <v>Low</v>
      </c>
      <c r="N126" s="96"/>
      <c r="O126" s="107"/>
      <c r="P126" s="111"/>
      <c r="Q126" s="104"/>
      <c r="R126" s="65"/>
      <c r="S126" s="154" t="str">
        <f t="shared" si="5"/>
        <v/>
      </c>
      <c r="U126" s="26"/>
      <c r="V126" s="26"/>
    </row>
    <row r="127" spans="1:22" ht="48">
      <c r="A127" s="272" t="s">
        <v>633</v>
      </c>
      <c r="B127" s="272" t="s">
        <v>88</v>
      </c>
      <c r="C127" s="106" t="s">
        <v>634</v>
      </c>
      <c r="D127" s="305" t="s">
        <v>580</v>
      </c>
      <c r="E127" s="105" t="s">
        <v>635</v>
      </c>
      <c r="F127" s="47" t="s">
        <v>83</v>
      </c>
      <c r="G127" s="47" t="s">
        <v>84</v>
      </c>
      <c r="H127" s="58">
        <f>IF(F127='Risk Methedology Matrix'!B$26,5,IF(F127='Risk Methedology Matrix'!B$27,4,IF(F127='Risk Methedology Matrix'!B$28,3,IF(F127='Risk Methedology Matrix'!B$29,2,IF(F127='Risk Methedology Matrix'!B$30,1,0)))))</f>
        <v>4</v>
      </c>
      <c r="I127" s="58">
        <f>IF(G127='Risk Methedology Matrix'!G$25,5,IF(G127='Risk Methedology Matrix'!F$25,4,IF(G127='Risk Methedology Matrix'!E$25,3,IF(G127='Risk Methedology Matrix'!D$25,2,IF(G127='Risk Methedology Matrix'!C$25,1,0)))))</f>
        <v>4</v>
      </c>
      <c r="J127" s="58" t="str">
        <f t="shared" si="8"/>
        <v>High</v>
      </c>
      <c r="K127" s="105" t="s">
        <v>680</v>
      </c>
      <c r="L127" s="47" t="s">
        <v>93</v>
      </c>
      <c r="M127" s="58" t="str">
        <f t="shared" si="6"/>
        <v>High</v>
      </c>
      <c r="N127" s="96"/>
      <c r="O127" s="107" t="s">
        <v>697</v>
      </c>
      <c r="P127" s="189" t="s">
        <v>1390</v>
      </c>
      <c r="Q127" s="104"/>
      <c r="R127" s="65"/>
      <c r="S127" s="154" t="str">
        <f t="shared" si="5"/>
        <v/>
      </c>
      <c r="U127" s="134" t="s">
        <v>1180</v>
      </c>
      <c r="V127" s="149" t="s">
        <v>1393</v>
      </c>
    </row>
    <row r="128" spans="1:22" ht="12.5">
      <c r="A128" s="272" t="s">
        <v>636</v>
      </c>
      <c r="B128" s="272" t="s">
        <v>88</v>
      </c>
      <c r="C128" s="106" t="s">
        <v>637</v>
      </c>
      <c r="D128" s="305" t="s">
        <v>580</v>
      </c>
      <c r="E128" s="105" t="s">
        <v>638</v>
      </c>
      <c r="F128" s="47" t="s">
        <v>114</v>
      </c>
      <c r="G128" s="47" t="s">
        <v>84</v>
      </c>
      <c r="H128" s="58">
        <f>IF(F128='Risk Methedology Matrix'!B$26,5,IF(F128='Risk Methedology Matrix'!B$27,4,IF(F128='Risk Methedology Matrix'!B$28,3,IF(F128='Risk Methedology Matrix'!B$29,2,IF(F128='Risk Methedology Matrix'!B$30,1,0)))))</f>
        <v>3</v>
      </c>
      <c r="I128" s="58">
        <f>IF(G128='Risk Methedology Matrix'!G$25,5,IF(G128='Risk Methedology Matrix'!F$25,4,IF(G128='Risk Methedology Matrix'!E$25,3,IF(G128='Risk Methedology Matrix'!D$25,2,IF(G128='Risk Methedology Matrix'!C$25,1,0)))))</f>
        <v>4</v>
      </c>
      <c r="J128" s="58" t="str">
        <f t="shared" si="8"/>
        <v>High</v>
      </c>
      <c r="K128" s="105" t="s">
        <v>681</v>
      </c>
      <c r="L128" s="47" t="s">
        <v>169</v>
      </c>
      <c r="M128" s="58" t="str">
        <f t="shared" si="6"/>
        <v>Low</v>
      </c>
      <c r="N128" s="96"/>
      <c r="O128" s="107"/>
      <c r="P128" s="111"/>
      <c r="Q128" s="104"/>
      <c r="R128" s="65"/>
      <c r="S128" s="154" t="str">
        <f t="shared" si="5"/>
        <v/>
      </c>
      <c r="U128" s="26"/>
      <c r="V128" s="26"/>
    </row>
    <row r="129" spans="1:22" ht="12.5">
      <c r="A129" s="272" t="s">
        <v>639</v>
      </c>
      <c r="B129" s="272" t="s">
        <v>88</v>
      </c>
      <c r="C129" s="106" t="s">
        <v>640</v>
      </c>
      <c r="D129" s="305" t="s">
        <v>580</v>
      </c>
      <c r="E129" s="105" t="s">
        <v>641</v>
      </c>
      <c r="F129" s="47" t="s">
        <v>114</v>
      </c>
      <c r="G129" s="47" t="s">
        <v>84</v>
      </c>
      <c r="H129" s="58">
        <f>IF(F129='Risk Methedology Matrix'!B$26,5,IF(F129='Risk Methedology Matrix'!B$27,4,IF(F129='Risk Methedology Matrix'!B$28,3,IF(F129='Risk Methedology Matrix'!B$29,2,IF(F129='Risk Methedology Matrix'!B$30,1,0)))))</f>
        <v>3</v>
      </c>
      <c r="I129" s="58">
        <f>IF(G129='Risk Methedology Matrix'!G$25,5,IF(G129='Risk Methedology Matrix'!F$25,4,IF(G129='Risk Methedology Matrix'!E$25,3,IF(G129='Risk Methedology Matrix'!D$25,2,IF(G129='Risk Methedology Matrix'!C$25,1,0)))))</f>
        <v>4</v>
      </c>
      <c r="J129" s="58" t="str">
        <f t="shared" si="8"/>
        <v>High</v>
      </c>
      <c r="K129" s="105" t="s">
        <v>682</v>
      </c>
      <c r="L129" s="47" t="s">
        <v>169</v>
      </c>
      <c r="M129" s="58" t="str">
        <f t="shared" si="6"/>
        <v>Low</v>
      </c>
      <c r="N129" s="96"/>
      <c r="O129" s="107"/>
      <c r="P129" s="111"/>
      <c r="Q129" s="104"/>
      <c r="R129" s="65"/>
      <c r="S129" s="154" t="str">
        <f t="shared" si="5"/>
        <v/>
      </c>
      <c r="U129" s="26"/>
      <c r="V129" s="26"/>
    </row>
    <row r="130" spans="1:22" ht="48">
      <c r="A130" s="272" t="s">
        <v>642</v>
      </c>
      <c r="B130" s="272" t="s">
        <v>88</v>
      </c>
      <c r="C130" s="106" t="s">
        <v>643</v>
      </c>
      <c r="D130" s="305" t="s">
        <v>580</v>
      </c>
      <c r="E130" s="105" t="s">
        <v>644</v>
      </c>
      <c r="F130" s="47" t="s">
        <v>83</v>
      </c>
      <c r="G130" s="47" t="s">
        <v>84</v>
      </c>
      <c r="H130" s="58">
        <f>IF(F130='Risk Methedology Matrix'!B$26,5,IF(F130='Risk Methedology Matrix'!B$27,4,IF(F130='Risk Methedology Matrix'!B$28,3,IF(F130='Risk Methedology Matrix'!B$29,2,IF(F130='Risk Methedology Matrix'!B$30,1,0)))))</f>
        <v>4</v>
      </c>
      <c r="I130" s="58">
        <f>IF(G130='Risk Methedology Matrix'!G$25,5,IF(G130='Risk Methedology Matrix'!F$25,4,IF(G130='Risk Methedology Matrix'!E$25,3,IF(G130='Risk Methedology Matrix'!D$25,2,IF(G130='Risk Methedology Matrix'!C$25,1,0)))))</f>
        <v>4</v>
      </c>
      <c r="J130" s="58" t="str">
        <f t="shared" si="8"/>
        <v>High</v>
      </c>
      <c r="K130" s="105" t="s">
        <v>683</v>
      </c>
      <c r="L130" s="47" t="s">
        <v>169</v>
      </c>
      <c r="M130" s="58" t="str">
        <f t="shared" si="6"/>
        <v>Low</v>
      </c>
      <c r="N130" s="96"/>
      <c r="O130" s="107"/>
      <c r="P130" s="111"/>
      <c r="Q130" s="104"/>
      <c r="R130" s="65"/>
      <c r="S130" s="154" t="str">
        <f t="shared" si="5"/>
        <v/>
      </c>
      <c r="U130" s="26"/>
      <c r="V130" s="26"/>
    </row>
    <row r="131" spans="1:22" ht="12.5">
      <c r="A131" s="272" t="s">
        <v>645</v>
      </c>
      <c r="B131" s="272" t="s">
        <v>88</v>
      </c>
      <c r="C131" s="106" t="s">
        <v>646</v>
      </c>
      <c r="D131" s="305" t="s">
        <v>580</v>
      </c>
      <c r="E131" s="105" t="s">
        <v>647</v>
      </c>
      <c r="F131" s="47" t="s">
        <v>114</v>
      </c>
      <c r="G131" s="47" t="s">
        <v>92</v>
      </c>
      <c r="H131" s="58">
        <f>IF(F131='Risk Methedology Matrix'!B$26,5,IF(F131='Risk Methedology Matrix'!B$27,4,IF(F131='Risk Methedology Matrix'!B$28,3,IF(F131='Risk Methedology Matrix'!B$29,2,IF(F131='Risk Methedology Matrix'!B$30,1,0)))))</f>
        <v>3</v>
      </c>
      <c r="I131" s="58">
        <f>IF(G131='Risk Methedology Matrix'!G$25,5,IF(G131='Risk Methedology Matrix'!F$25,4,IF(G131='Risk Methedology Matrix'!E$25,3,IF(G131='Risk Methedology Matrix'!D$25,2,IF(G131='Risk Methedology Matrix'!C$25,1,0)))))</f>
        <v>5</v>
      </c>
      <c r="J131" s="58" t="str">
        <f t="shared" si="8"/>
        <v>High</v>
      </c>
      <c r="K131" s="105" t="s">
        <v>684</v>
      </c>
      <c r="L131" s="47" t="s">
        <v>169</v>
      </c>
      <c r="M131" s="58" t="str">
        <f t="shared" si="6"/>
        <v>Low</v>
      </c>
      <c r="N131" s="96"/>
      <c r="O131" s="107"/>
      <c r="P131" s="111"/>
      <c r="Q131" s="104"/>
      <c r="R131" s="65"/>
      <c r="S131" s="154" t="str">
        <f t="shared" si="5"/>
        <v/>
      </c>
      <c r="U131" s="26"/>
      <c r="V131" s="26"/>
    </row>
    <row r="132" spans="1:22" ht="12.5">
      <c r="A132" s="272" t="s">
        <v>648</v>
      </c>
      <c r="B132" s="272" t="s">
        <v>88</v>
      </c>
      <c r="C132" s="106" t="s">
        <v>649</v>
      </c>
      <c r="D132" s="305" t="s">
        <v>580</v>
      </c>
      <c r="E132" s="105" t="s">
        <v>650</v>
      </c>
      <c r="F132" s="47" t="s">
        <v>114</v>
      </c>
      <c r="G132" s="47" t="s">
        <v>92</v>
      </c>
      <c r="H132" s="58">
        <f>IF(F132='Risk Methedology Matrix'!B$26,5,IF(F132='Risk Methedology Matrix'!B$27,4,IF(F132='Risk Methedology Matrix'!B$28,3,IF(F132='Risk Methedology Matrix'!B$29,2,IF(F132='Risk Methedology Matrix'!B$30,1,0)))))</f>
        <v>3</v>
      </c>
      <c r="I132" s="58">
        <f>IF(G132='Risk Methedology Matrix'!G$25,5,IF(G132='Risk Methedology Matrix'!F$25,4,IF(G132='Risk Methedology Matrix'!E$25,3,IF(G132='Risk Methedology Matrix'!D$25,2,IF(G132='Risk Methedology Matrix'!C$25,1,0)))))</f>
        <v>5</v>
      </c>
      <c r="J132" s="58" t="str">
        <f t="shared" si="8"/>
        <v>High</v>
      </c>
      <c r="K132" s="105" t="s">
        <v>685</v>
      </c>
      <c r="L132" s="47" t="s">
        <v>169</v>
      </c>
      <c r="M132" s="58" t="str">
        <f t="shared" si="6"/>
        <v>Low</v>
      </c>
      <c r="N132" s="96"/>
      <c r="O132" s="107"/>
      <c r="P132" s="111"/>
      <c r="Q132" s="104"/>
      <c r="R132" s="65"/>
      <c r="S132" s="154" t="str">
        <f t="shared" si="5"/>
        <v/>
      </c>
      <c r="U132" s="26"/>
      <c r="V132" s="26"/>
    </row>
    <row r="133" spans="1:22" ht="36">
      <c r="A133" s="272" t="s">
        <v>651</v>
      </c>
      <c r="B133" s="272" t="s">
        <v>88</v>
      </c>
      <c r="C133" s="106" t="s">
        <v>652</v>
      </c>
      <c r="D133" s="305" t="s">
        <v>580</v>
      </c>
      <c r="E133" s="105" t="s">
        <v>653</v>
      </c>
      <c r="F133" s="47" t="s">
        <v>83</v>
      </c>
      <c r="G133" s="47" t="s">
        <v>104</v>
      </c>
      <c r="H133" s="58">
        <f>IF(F133='Risk Methedology Matrix'!B$26,5,IF(F133='Risk Methedology Matrix'!B$27,4,IF(F133='Risk Methedology Matrix'!B$28,3,IF(F133='Risk Methedology Matrix'!B$29,2,IF(F133='Risk Methedology Matrix'!B$30,1,0)))))</f>
        <v>4</v>
      </c>
      <c r="I133" s="58">
        <f>IF(G133='Risk Methedology Matrix'!G$25,5,IF(G133='Risk Methedology Matrix'!F$25,4,IF(G133='Risk Methedology Matrix'!E$25,3,IF(G133='Risk Methedology Matrix'!D$25,2,IF(G133='Risk Methedology Matrix'!C$25,1,0)))))</f>
        <v>3</v>
      </c>
      <c r="J133" s="58" t="str">
        <f t="shared" si="8"/>
        <v>High</v>
      </c>
      <c r="K133" s="105" t="s">
        <v>686</v>
      </c>
      <c r="L133" s="47" t="s">
        <v>93</v>
      </c>
      <c r="M133" s="58" t="str">
        <f t="shared" si="6"/>
        <v>High</v>
      </c>
      <c r="N133" s="96"/>
      <c r="O133" s="107" t="s">
        <v>698</v>
      </c>
      <c r="P133" s="189" t="s">
        <v>1390</v>
      </c>
      <c r="Q133" s="104"/>
      <c r="R133" s="65"/>
      <c r="S133" s="154" t="str">
        <f t="shared" si="5"/>
        <v/>
      </c>
      <c r="U133" s="134" t="s">
        <v>1180</v>
      </c>
      <c r="V133" s="149" t="s">
        <v>1394</v>
      </c>
    </row>
    <row r="134" spans="1:22" ht="12.5">
      <c r="A134" s="272" t="s">
        <v>654</v>
      </c>
      <c r="B134" s="272" t="s">
        <v>88</v>
      </c>
      <c r="C134" s="106" t="s">
        <v>655</v>
      </c>
      <c r="D134" s="305" t="s">
        <v>580</v>
      </c>
      <c r="E134" s="105" t="s">
        <v>656</v>
      </c>
      <c r="F134" s="47" t="s">
        <v>114</v>
      </c>
      <c r="G134" s="47" t="s">
        <v>92</v>
      </c>
      <c r="H134" s="58">
        <f>IF(F134='Risk Methedology Matrix'!B$26,5,IF(F134='Risk Methedology Matrix'!B$27,4,IF(F134='Risk Methedology Matrix'!B$28,3,IF(F134='Risk Methedology Matrix'!B$29,2,IF(F134='Risk Methedology Matrix'!B$30,1,0)))))</f>
        <v>3</v>
      </c>
      <c r="I134" s="58">
        <f>IF(G134='Risk Methedology Matrix'!G$25,5,IF(G134='Risk Methedology Matrix'!F$25,4,IF(G134='Risk Methedology Matrix'!E$25,3,IF(G134='Risk Methedology Matrix'!D$25,2,IF(G134='Risk Methedology Matrix'!C$25,1,0)))))</f>
        <v>5</v>
      </c>
      <c r="J134" s="58" t="str">
        <f t="shared" si="8"/>
        <v>High</v>
      </c>
      <c r="K134" s="105" t="s">
        <v>687</v>
      </c>
      <c r="L134" s="47" t="s">
        <v>169</v>
      </c>
      <c r="M134" s="58" t="str">
        <f t="shared" si="6"/>
        <v>Low</v>
      </c>
      <c r="N134" s="96"/>
      <c r="O134" s="107"/>
      <c r="P134" s="111"/>
      <c r="Q134" s="104"/>
      <c r="R134" s="65"/>
      <c r="S134" s="154" t="str">
        <f t="shared" si="5"/>
        <v/>
      </c>
      <c r="U134" s="26"/>
      <c r="V134" s="26"/>
    </row>
    <row r="135" spans="1:22" ht="12.5">
      <c r="A135" s="272" t="s">
        <v>657</v>
      </c>
      <c r="B135" s="272" t="s">
        <v>88</v>
      </c>
      <c r="C135" s="106" t="s">
        <v>658</v>
      </c>
      <c r="D135" s="305" t="s">
        <v>580</v>
      </c>
      <c r="E135" s="105" t="s">
        <v>659</v>
      </c>
      <c r="F135" s="47" t="s">
        <v>83</v>
      </c>
      <c r="G135" s="47" t="s">
        <v>161</v>
      </c>
      <c r="H135" s="58">
        <f>IF(F135='Risk Methedology Matrix'!B$26,5,IF(F135='Risk Methedology Matrix'!B$27,4,IF(F135='Risk Methedology Matrix'!B$28,3,IF(F135='Risk Methedology Matrix'!B$29,2,IF(F135='Risk Methedology Matrix'!B$30,1,0)))))</f>
        <v>4</v>
      </c>
      <c r="I135" s="58">
        <f>IF(G135='Risk Methedology Matrix'!G$25,5,IF(G135='Risk Methedology Matrix'!F$25,4,IF(G135='Risk Methedology Matrix'!E$25,3,IF(G135='Risk Methedology Matrix'!D$25,2,IF(G135='Risk Methedology Matrix'!C$25,1,0)))))</f>
        <v>2</v>
      </c>
      <c r="J135" s="58" t="str">
        <f t="shared" si="8"/>
        <v>Medium</v>
      </c>
      <c r="K135" s="105" t="s">
        <v>688</v>
      </c>
      <c r="L135" s="47" t="s">
        <v>169</v>
      </c>
      <c r="M135" s="58" t="str">
        <f t="shared" si="6"/>
        <v>Very Low</v>
      </c>
      <c r="N135" s="96"/>
      <c r="O135" s="107"/>
      <c r="P135" s="109"/>
      <c r="Q135" s="104"/>
      <c r="R135" s="65"/>
      <c r="S135" s="154"/>
      <c r="U135" s="191"/>
      <c r="V135" s="132"/>
    </row>
    <row r="136" spans="1:22" ht="96">
      <c r="A136" s="272" t="s">
        <v>660</v>
      </c>
      <c r="B136" s="272" t="s">
        <v>88</v>
      </c>
      <c r="C136" s="273" t="s">
        <v>661</v>
      </c>
      <c r="D136" s="305" t="s">
        <v>580</v>
      </c>
      <c r="E136" s="274" t="s">
        <v>662</v>
      </c>
      <c r="F136" s="47" t="s">
        <v>114</v>
      </c>
      <c r="G136" s="47" t="s">
        <v>92</v>
      </c>
      <c r="H136" s="58">
        <f>IF(F136='Risk Methedology Matrix'!B$26,5,IF(F136='Risk Methedology Matrix'!B$27,4,IF(F136='Risk Methedology Matrix'!B$28,3,IF(F136='Risk Methedology Matrix'!B$29,2,IF(F136='Risk Methedology Matrix'!B$30,1,0)))))</f>
        <v>3</v>
      </c>
      <c r="I136" s="58">
        <f>IF(G136='Risk Methedology Matrix'!G$25,5,IF(G136='Risk Methedology Matrix'!F$25,4,IF(G136='Risk Methedology Matrix'!E$25,3,IF(G136='Risk Methedology Matrix'!D$25,2,IF(G136='Risk Methedology Matrix'!C$25,1,0)))))</f>
        <v>5</v>
      </c>
      <c r="J136" s="58" t="str">
        <f t="shared" si="8"/>
        <v>High</v>
      </c>
      <c r="K136" s="105" t="s">
        <v>689</v>
      </c>
      <c r="L136" s="47" t="s">
        <v>169</v>
      </c>
      <c r="M136" s="58" t="str">
        <f t="shared" si="6"/>
        <v>Low</v>
      </c>
      <c r="N136" s="96"/>
      <c r="O136" s="107"/>
      <c r="P136" s="111"/>
      <c r="Q136" s="104"/>
      <c r="R136" s="65"/>
      <c r="S136" s="154" t="str">
        <f t="shared" si="5"/>
        <v/>
      </c>
      <c r="U136" s="26"/>
      <c r="V136" s="26"/>
    </row>
    <row r="137" spans="1:22" ht="84">
      <c r="A137" s="272" t="s">
        <v>663</v>
      </c>
      <c r="B137" s="272" t="s">
        <v>88</v>
      </c>
      <c r="C137" s="273" t="s">
        <v>664</v>
      </c>
      <c r="D137" s="305" t="s">
        <v>580</v>
      </c>
      <c r="E137" s="274" t="s">
        <v>665</v>
      </c>
      <c r="F137" s="47" t="s">
        <v>114</v>
      </c>
      <c r="G137" s="47" t="s">
        <v>92</v>
      </c>
      <c r="H137" s="58">
        <f>IF(F137='Risk Methedology Matrix'!B$26,5,IF(F137='Risk Methedology Matrix'!B$27,4,IF(F137='Risk Methedology Matrix'!B$28,3,IF(F137='Risk Methedology Matrix'!B$29,2,IF(F137='Risk Methedology Matrix'!B$30,1,0)))))</f>
        <v>3</v>
      </c>
      <c r="I137" s="58">
        <f>IF(G137='Risk Methedology Matrix'!G$25,5,IF(G137='Risk Methedology Matrix'!F$25,4,IF(G137='Risk Methedology Matrix'!E$25,3,IF(G137='Risk Methedology Matrix'!D$25,2,IF(G137='Risk Methedology Matrix'!C$25,1,0)))))</f>
        <v>5</v>
      </c>
      <c r="J137" s="58" t="str">
        <f t="shared" si="8"/>
        <v>High</v>
      </c>
      <c r="K137" s="105" t="s">
        <v>690</v>
      </c>
      <c r="L137" s="47" t="s">
        <v>169</v>
      </c>
      <c r="M137" s="58" t="str">
        <f t="shared" si="6"/>
        <v>Low</v>
      </c>
      <c r="N137" s="96"/>
      <c r="O137" s="107"/>
      <c r="P137" s="109"/>
      <c r="Q137" s="104"/>
      <c r="R137" s="65"/>
      <c r="S137" s="154"/>
      <c r="U137" s="136"/>
      <c r="V137" s="137"/>
    </row>
    <row r="138" spans="1:22" ht="69" customHeight="1">
      <c r="A138" s="254" t="s">
        <v>699</v>
      </c>
      <c r="B138" s="254" t="s">
        <v>88</v>
      </c>
      <c r="C138" s="254" t="s">
        <v>700</v>
      </c>
      <c r="D138" s="254" t="s">
        <v>701</v>
      </c>
      <c r="E138" s="254" t="s">
        <v>702</v>
      </c>
      <c r="F138" s="47" t="s">
        <v>114</v>
      </c>
      <c r="G138" s="47" t="s">
        <v>104</v>
      </c>
      <c r="H138" s="58">
        <f>IF(F138='Risk Methedology Matrix'!B$26,5,IF(F138='Risk Methedology Matrix'!B$27,4,IF(F138='Risk Methedology Matrix'!B$28,3,IF(F138='Risk Methedology Matrix'!B$29,2,IF(F138='Risk Methedology Matrix'!B$30,1,0)))))</f>
        <v>3</v>
      </c>
      <c r="I138" s="58">
        <f>IF(G138='Risk Methedology Matrix'!G$25,5,IF(G138='Risk Methedology Matrix'!F$25,4,IF(G138='Risk Methedology Matrix'!E$25,3,IF(G138='Risk Methedology Matrix'!D$25,2,IF(G138='Risk Methedology Matrix'!C$25,1,0)))))</f>
        <v>3</v>
      </c>
      <c r="J138" s="58" t="str">
        <f t="shared" ref="J138:J162" si="9">IF(OR(F138="",G138=""),"",IF(H138*I138&gt;=20,"Very High",IF(AND(H138*I138&lt;20,H138*I138&gt;=11),"High",IF(AND(H138*I138&lt;11,H138*I138&gt;=6),"Medium",IF(AND(H138*I138&lt;6,H138*I138&gt;=3),"Low",IF(AND(H138*I138&lt;3,H138*I138&gt;=1),"Very Low",""))))))</f>
        <v>Medium</v>
      </c>
      <c r="K138" s="254" t="s">
        <v>776</v>
      </c>
      <c r="L138" s="47" t="s">
        <v>169</v>
      </c>
      <c r="M138" s="58" t="str">
        <f>IF(OR(J138="",L138=""),"",
IF(AND(J138="Very High",L138="Excellent"),"Low",
IF(AND(J138="Very High",L138="Good"),"Medium",
IF(AND(J138="Very High",L138="Fair"),"High",
IF(AND(J138="Very High",L138="Poor"),"Very High",
IF(AND(J138="Very High",L138="Unsatisfactory"),"Very High",
IF(AND(J138="High",L138="Excellent"),"Very Low",
IF(AND(J138="High",L138="Good"),"Low",
IF(AND(J138="High",L138="Fair"),"Medium",
IF(AND(J138="High",L138="Poor"),"High",
IF(AND(J138="High",L138="Unsatisfactory"),"High",
IF(AND(J138="Medium",L138="Excellent"),"Very Low",
IF(AND(J138="Medium",L138="Good"),"Very Low",
IF(AND(J138="Medium",L138="Fair"),"Low",
IF(AND(J138="Medium",L138="Poor"),"Medium",
IF(AND(J138="Medium",L138="Unsatisfactory"),"Medium",
IF(AND(J138="Low",L138="Excellent"),"Very Low",
IF(AND(J138="Low",L138="Good"),"Very Low",
IF(AND(J138="Low",L138="Fair"),"Very Low",
IF(AND(J138="Low",L138="Poor"),"Low",
IF(AND(J138="Low",L138="Unsatisfactory"),"Low",
IF(AND(J138="Very Low",L138="Excellent"),"Very Low",
IF(AND(J138="Very Low",L138="Good"),"Very Low",
IF(AND(J138="Very Low",L138="Fair"),"Very Low",
IF(AND(J138="Very Low",L138="Poor"),"Very Low",
IF(AND(J138="Very Low",L138="Unsatisfactory"),"Very Low",""))))))))))))))))))))))))))</f>
        <v>Very Low</v>
      </c>
      <c r="N138" s="96"/>
      <c r="O138" s="112"/>
      <c r="P138" s="112"/>
      <c r="Q138" s="104"/>
      <c r="R138" s="65"/>
      <c r="S138" s="154" t="str">
        <f t="shared" si="5"/>
        <v/>
      </c>
      <c r="U138" s="138"/>
      <c r="V138" s="139"/>
    </row>
    <row r="139" spans="1:22" ht="57.5" customHeight="1">
      <c r="A139" s="254" t="s">
        <v>703</v>
      </c>
      <c r="B139" s="254" t="s">
        <v>88</v>
      </c>
      <c r="C139" s="254" t="s">
        <v>704</v>
      </c>
      <c r="D139" s="254" t="s">
        <v>701</v>
      </c>
      <c r="E139" s="254" t="s">
        <v>705</v>
      </c>
      <c r="F139" s="47" t="s">
        <v>114</v>
      </c>
      <c r="G139" s="47" t="s">
        <v>104</v>
      </c>
      <c r="H139" s="58">
        <f>IF(F139='Risk Methedology Matrix'!B$26,5,IF(F139='Risk Methedology Matrix'!B$27,4,IF(F139='Risk Methedology Matrix'!B$28,3,IF(F139='Risk Methedology Matrix'!B$29,2,IF(F139='Risk Methedology Matrix'!B$30,1,0)))))</f>
        <v>3</v>
      </c>
      <c r="I139" s="58">
        <f>IF(G139='Risk Methedology Matrix'!G$25,5,IF(G139='Risk Methedology Matrix'!F$25,4,IF(G139='Risk Methedology Matrix'!E$25,3,IF(G139='Risk Methedology Matrix'!D$25,2,IF(G139='Risk Methedology Matrix'!C$25,1,0)))))</f>
        <v>3</v>
      </c>
      <c r="J139" s="58" t="str">
        <f t="shared" si="9"/>
        <v>Medium</v>
      </c>
      <c r="K139" s="254" t="s">
        <v>777</v>
      </c>
      <c r="L139" s="47" t="s">
        <v>169</v>
      </c>
      <c r="M139" s="58" t="str">
        <f t="shared" si="6"/>
        <v>Very Low</v>
      </c>
      <c r="N139" s="96"/>
      <c r="O139" s="112"/>
      <c r="P139" s="112"/>
      <c r="Q139" s="104"/>
      <c r="R139" s="65"/>
      <c r="S139" s="154" t="str">
        <f t="shared" si="5"/>
        <v/>
      </c>
      <c r="U139" s="138"/>
      <c r="V139" s="139"/>
    </row>
    <row r="140" spans="1:22" ht="80.5" customHeight="1">
      <c r="A140" s="254" t="s">
        <v>706</v>
      </c>
      <c r="B140" s="254" t="s">
        <v>88</v>
      </c>
      <c r="C140" s="254" t="s">
        <v>707</v>
      </c>
      <c r="D140" s="254" t="s">
        <v>701</v>
      </c>
      <c r="E140" s="254" t="s">
        <v>708</v>
      </c>
      <c r="F140" s="47" t="s">
        <v>83</v>
      </c>
      <c r="G140" s="47" t="s">
        <v>104</v>
      </c>
      <c r="H140" s="58">
        <f>IF(F140='Risk Methedology Matrix'!B$26,5,IF(F140='Risk Methedology Matrix'!B$27,4,IF(F140='Risk Methedology Matrix'!B$28,3,IF(F140='Risk Methedology Matrix'!B$29,2,IF(F140='Risk Methedology Matrix'!B$30,1,0)))))</f>
        <v>4</v>
      </c>
      <c r="I140" s="58">
        <f>IF(G140='Risk Methedology Matrix'!G$25,5,IF(G140='Risk Methedology Matrix'!F$25,4,IF(G140='Risk Methedology Matrix'!E$25,3,IF(G140='Risk Methedology Matrix'!D$25,2,IF(G140='Risk Methedology Matrix'!C$25,1,0)))))</f>
        <v>3</v>
      </c>
      <c r="J140" s="58" t="str">
        <f t="shared" si="9"/>
        <v>High</v>
      </c>
      <c r="K140" s="254" t="s">
        <v>778</v>
      </c>
      <c r="L140" s="47" t="s">
        <v>85</v>
      </c>
      <c r="M140" s="58" t="str">
        <f t="shared" si="6"/>
        <v>Medium</v>
      </c>
      <c r="N140" s="96"/>
      <c r="O140" s="112"/>
      <c r="P140" s="112"/>
      <c r="Q140" s="104"/>
      <c r="R140" s="65"/>
      <c r="S140" s="154" t="str">
        <f t="shared" si="5"/>
        <v/>
      </c>
      <c r="U140" s="138"/>
      <c r="V140" s="139"/>
    </row>
    <row r="141" spans="1:22" ht="46" customHeight="1">
      <c r="A141" s="254" t="s">
        <v>709</v>
      </c>
      <c r="B141" s="254" t="s">
        <v>88</v>
      </c>
      <c r="C141" s="254" t="s">
        <v>710</v>
      </c>
      <c r="D141" s="254" t="s">
        <v>701</v>
      </c>
      <c r="E141" s="254" t="s">
        <v>711</v>
      </c>
      <c r="F141" s="47" t="s">
        <v>109</v>
      </c>
      <c r="G141" s="47" t="s">
        <v>104</v>
      </c>
      <c r="H141" s="58">
        <f>IF(F141='Risk Methedology Matrix'!B$26,5,IF(F141='Risk Methedology Matrix'!B$27,4,IF(F141='Risk Methedology Matrix'!B$28,3,IF(F141='Risk Methedology Matrix'!B$29,2,IF(F141='Risk Methedology Matrix'!B$30,1,0)))))</f>
        <v>5</v>
      </c>
      <c r="I141" s="58">
        <f>IF(G141='Risk Methedology Matrix'!G$25,5,IF(G141='Risk Methedology Matrix'!F$25,4,IF(G141='Risk Methedology Matrix'!E$25,3,IF(G141='Risk Methedology Matrix'!D$25,2,IF(G141='Risk Methedology Matrix'!C$25,1,0)))))</f>
        <v>3</v>
      </c>
      <c r="J141" s="58" t="str">
        <f t="shared" si="9"/>
        <v>High</v>
      </c>
      <c r="K141" s="254" t="s">
        <v>779</v>
      </c>
      <c r="L141" s="47" t="s">
        <v>85</v>
      </c>
      <c r="M141" s="58" t="str">
        <f t="shared" si="6"/>
        <v>Medium</v>
      </c>
      <c r="N141" s="96"/>
      <c r="O141" s="112"/>
      <c r="P141" s="112"/>
      <c r="Q141" s="104"/>
      <c r="R141" s="65"/>
      <c r="S141" s="154" t="str">
        <f t="shared" si="5"/>
        <v/>
      </c>
      <c r="U141" s="138"/>
      <c r="V141" s="139"/>
    </row>
    <row r="142" spans="1:22" ht="69" customHeight="1">
      <c r="A142" s="254" t="s">
        <v>712</v>
      </c>
      <c r="B142" s="254" t="s">
        <v>88</v>
      </c>
      <c r="C142" s="254" t="s">
        <v>713</v>
      </c>
      <c r="D142" s="254" t="s">
        <v>701</v>
      </c>
      <c r="E142" s="254" t="s">
        <v>714</v>
      </c>
      <c r="F142" s="47" t="s">
        <v>109</v>
      </c>
      <c r="G142" s="47" t="s">
        <v>104</v>
      </c>
      <c r="H142" s="58">
        <f>IF(F142='Risk Methedology Matrix'!B$26,5,IF(F142='Risk Methedology Matrix'!B$27,4,IF(F142='Risk Methedology Matrix'!B$28,3,IF(F142='Risk Methedology Matrix'!B$29,2,IF(F142='Risk Methedology Matrix'!B$30,1,0)))))</f>
        <v>5</v>
      </c>
      <c r="I142" s="58">
        <f>IF(G142='Risk Methedology Matrix'!G$25,5,IF(G142='Risk Methedology Matrix'!F$25,4,IF(G142='Risk Methedology Matrix'!E$25,3,IF(G142='Risk Methedology Matrix'!D$25,2,IF(G142='Risk Methedology Matrix'!C$25,1,0)))))</f>
        <v>3</v>
      </c>
      <c r="J142" s="58" t="str">
        <f t="shared" si="9"/>
        <v>High</v>
      </c>
      <c r="K142" s="254" t="s">
        <v>780</v>
      </c>
      <c r="L142" s="47" t="s">
        <v>85</v>
      </c>
      <c r="M142" s="58" t="str">
        <f t="shared" si="6"/>
        <v>Medium</v>
      </c>
      <c r="N142" s="96"/>
      <c r="O142" s="112"/>
      <c r="P142" s="112"/>
      <c r="Q142" s="104"/>
      <c r="R142" s="65"/>
      <c r="S142" s="154" t="str">
        <f t="shared" si="5"/>
        <v/>
      </c>
      <c r="U142" s="138"/>
      <c r="V142" s="139"/>
    </row>
    <row r="143" spans="1:22" ht="57.5" customHeight="1">
      <c r="A143" s="254" t="s">
        <v>715</v>
      </c>
      <c r="B143" s="254" t="s">
        <v>88</v>
      </c>
      <c r="C143" s="254" t="s">
        <v>716</v>
      </c>
      <c r="D143" s="254" t="s">
        <v>701</v>
      </c>
      <c r="E143" s="254" t="s">
        <v>717</v>
      </c>
      <c r="F143" s="47" t="s">
        <v>114</v>
      </c>
      <c r="G143" s="47" t="s">
        <v>104</v>
      </c>
      <c r="H143" s="58">
        <f>IF(F143='Risk Methedology Matrix'!B$26,5,IF(F143='Risk Methedology Matrix'!B$27,4,IF(F143='Risk Methedology Matrix'!B$28,3,IF(F143='Risk Methedology Matrix'!B$29,2,IF(F143='Risk Methedology Matrix'!B$30,1,0)))))</f>
        <v>3</v>
      </c>
      <c r="I143" s="58">
        <f>IF(G143='Risk Methedology Matrix'!G$25,5,IF(G143='Risk Methedology Matrix'!F$25,4,IF(G143='Risk Methedology Matrix'!E$25,3,IF(G143='Risk Methedology Matrix'!D$25,2,IF(G143='Risk Methedology Matrix'!C$25,1,0)))))</f>
        <v>3</v>
      </c>
      <c r="J143" s="58" t="str">
        <f t="shared" si="9"/>
        <v>Medium</v>
      </c>
      <c r="K143" s="254" t="s">
        <v>781</v>
      </c>
      <c r="L143" s="47" t="s">
        <v>85</v>
      </c>
      <c r="M143" s="58" t="str">
        <f t="shared" si="6"/>
        <v>Low</v>
      </c>
      <c r="N143" s="96"/>
      <c r="O143" s="112"/>
      <c r="P143" s="112"/>
      <c r="Q143" s="104"/>
      <c r="R143" s="65"/>
      <c r="S143" s="154" t="str">
        <f t="shared" si="5"/>
        <v/>
      </c>
      <c r="U143" s="138"/>
      <c r="V143" s="139"/>
    </row>
    <row r="144" spans="1:22" ht="57.5" customHeight="1">
      <c r="A144" s="254" t="s">
        <v>718</v>
      </c>
      <c r="B144" s="254" t="s">
        <v>88</v>
      </c>
      <c r="C144" s="254" t="s">
        <v>719</v>
      </c>
      <c r="D144" s="254" t="s">
        <v>701</v>
      </c>
      <c r="E144" s="254" t="s">
        <v>720</v>
      </c>
      <c r="F144" s="47" t="s">
        <v>109</v>
      </c>
      <c r="G144" s="47" t="s">
        <v>104</v>
      </c>
      <c r="H144" s="58">
        <f>IF(F144='Risk Methedology Matrix'!B$26,5,IF(F144='Risk Methedology Matrix'!B$27,4,IF(F144='Risk Methedology Matrix'!B$28,3,IF(F144='Risk Methedology Matrix'!B$29,2,IF(F144='Risk Methedology Matrix'!B$30,1,0)))))</f>
        <v>5</v>
      </c>
      <c r="I144" s="58">
        <f>IF(G144='Risk Methedology Matrix'!G$25,5,IF(G144='Risk Methedology Matrix'!F$25,4,IF(G144='Risk Methedology Matrix'!E$25,3,IF(G144='Risk Methedology Matrix'!D$25,2,IF(G144='Risk Methedology Matrix'!C$25,1,0)))))</f>
        <v>3</v>
      </c>
      <c r="J144" s="58" t="str">
        <f t="shared" si="9"/>
        <v>High</v>
      </c>
      <c r="K144" s="254" t="s">
        <v>782</v>
      </c>
      <c r="L144" s="47" t="s">
        <v>85</v>
      </c>
      <c r="M144" s="58" t="str">
        <f t="shared" si="6"/>
        <v>Medium</v>
      </c>
      <c r="N144" s="96"/>
      <c r="O144" s="112"/>
      <c r="P144" s="112"/>
      <c r="Q144" s="104"/>
      <c r="R144" s="65"/>
      <c r="S144" s="154" t="str">
        <f t="shared" ref="S144:S222" si="10">IF(OR(L144="",R144=""),"",IF(AND(L144="Very High",R144="Excellent"),"Low",IF(AND(L144="Very High",R144="Good"),"Medium",IF(AND(L144="Very High",R144="Fair"),"High",IF(AND(L144="Very High",R144="Poor"),"Very High",IF(AND(L144="Very High",R144="Unsatisfactory"),"Very High",IF(AND(L144="High",R144="Excellent"),"Low",IF(AND(L144="High",R144="Good"),"Low",IF(AND(L144="High",R144="Fair"),"Medium",IF(AND(L144="High",R144="Poor"),"High",IF(AND(L144="High",R144="Unsatisfactory"),"High",IF(AND(L144="Medium",R144="Excellent"),"Low",IF(AND(L144="Medium",R144="Good"),"Low",IF(AND(L144="Medium",R144="Fair"),"Low",IF(AND(L144="Medium",R144="Poor"),"Medium",IF(AND(L144="Medium",R144="Unsatisfactory"),"Medium",IF(AND(L144="Low",R144="Excellent"),"Very Low",IF(AND(L144="Low",R144="Good"),"Low",IF(AND(L144="Low",R144="Fair"),"Low",IF(AND(L144="Low",R144="Poor"),"Low",IF(AND(L144="Low",R144="Unsatisfactory"),"Low",IF(AND(L144="Very Low",R144="Excellent"),"Very Low",IF(AND(L144="Very Low",R144="Good"),"Very Low",IF(AND(L144="Very Low",R144="Fair"),"Very Low",IF(AND(L144="Very Low",R144="Poor"),"Very Low",IF(AND(L144="Very Low",R144="Unsatisfactory"),"Very Low","Low"))))))))))))))))))))))))))</f>
        <v/>
      </c>
      <c r="U144" s="138"/>
      <c r="V144" s="139"/>
    </row>
    <row r="145" spans="1:22" ht="57.5" customHeight="1">
      <c r="A145" s="254" t="s">
        <v>721</v>
      </c>
      <c r="B145" s="254" t="s">
        <v>88</v>
      </c>
      <c r="C145" s="254" t="s">
        <v>722</v>
      </c>
      <c r="D145" s="254" t="s">
        <v>701</v>
      </c>
      <c r="E145" s="254" t="s">
        <v>723</v>
      </c>
      <c r="F145" s="47" t="s">
        <v>109</v>
      </c>
      <c r="G145" s="47" t="s">
        <v>104</v>
      </c>
      <c r="H145" s="58">
        <f>IF(F145='Risk Methedology Matrix'!B$26,5,IF(F145='Risk Methedology Matrix'!B$27,4,IF(F145='Risk Methedology Matrix'!B$28,3,IF(F145='Risk Methedology Matrix'!B$29,2,IF(F145='Risk Methedology Matrix'!B$30,1,0)))))</f>
        <v>5</v>
      </c>
      <c r="I145" s="58">
        <f>IF(G145='Risk Methedology Matrix'!G$25,5,IF(G145='Risk Methedology Matrix'!F$25,4,IF(G145='Risk Methedology Matrix'!E$25,3,IF(G145='Risk Methedology Matrix'!D$25,2,IF(G145='Risk Methedology Matrix'!C$25,1,0)))))</f>
        <v>3</v>
      </c>
      <c r="J145" s="58" t="str">
        <f t="shared" si="9"/>
        <v>High</v>
      </c>
      <c r="K145" s="254" t="s">
        <v>783</v>
      </c>
      <c r="L145" s="47" t="s">
        <v>85</v>
      </c>
      <c r="M145" s="58" t="str">
        <f t="shared" si="6"/>
        <v>Medium</v>
      </c>
      <c r="N145" s="96"/>
      <c r="O145" s="112"/>
      <c r="P145" s="112"/>
      <c r="Q145" s="104"/>
      <c r="R145" s="65"/>
      <c r="S145" s="154" t="str">
        <f t="shared" si="10"/>
        <v/>
      </c>
      <c r="U145" s="138"/>
      <c r="V145" s="139"/>
    </row>
    <row r="146" spans="1:22" ht="80.5" customHeight="1">
      <c r="A146" s="254" t="s">
        <v>724</v>
      </c>
      <c r="B146" s="254" t="s">
        <v>88</v>
      </c>
      <c r="C146" s="254" t="s">
        <v>725</v>
      </c>
      <c r="D146" s="254" t="s">
        <v>701</v>
      </c>
      <c r="E146" s="254" t="s">
        <v>726</v>
      </c>
      <c r="F146" s="47" t="s">
        <v>83</v>
      </c>
      <c r="G146" s="47" t="s">
        <v>104</v>
      </c>
      <c r="H146" s="58">
        <f>IF(F146='Risk Methedology Matrix'!B$26,5,IF(F146='Risk Methedology Matrix'!B$27,4,IF(F146='Risk Methedology Matrix'!B$28,3,IF(F146='Risk Methedology Matrix'!B$29,2,IF(F146='Risk Methedology Matrix'!B$30,1,0)))))</f>
        <v>4</v>
      </c>
      <c r="I146" s="58">
        <f>IF(G146='Risk Methedology Matrix'!G$25,5,IF(G146='Risk Methedology Matrix'!F$25,4,IF(G146='Risk Methedology Matrix'!E$25,3,IF(G146='Risk Methedology Matrix'!D$25,2,IF(G146='Risk Methedology Matrix'!C$25,1,0)))))</f>
        <v>3</v>
      </c>
      <c r="J146" s="58" t="str">
        <f t="shared" si="9"/>
        <v>High</v>
      </c>
      <c r="K146" s="254" t="s">
        <v>784</v>
      </c>
      <c r="L146" s="47" t="s">
        <v>85</v>
      </c>
      <c r="M146" s="58" t="str">
        <f t="shared" si="6"/>
        <v>Medium</v>
      </c>
      <c r="N146" s="96"/>
      <c r="O146" s="112"/>
      <c r="P146" s="112"/>
      <c r="Q146" s="104"/>
      <c r="R146" s="65"/>
      <c r="S146" s="154" t="str">
        <f t="shared" si="10"/>
        <v/>
      </c>
      <c r="U146" s="138"/>
      <c r="V146" s="139"/>
    </row>
    <row r="147" spans="1:22" ht="57.5" customHeight="1">
      <c r="A147" s="254" t="s">
        <v>727</v>
      </c>
      <c r="B147" s="254" t="s">
        <v>88</v>
      </c>
      <c r="C147" s="254" t="s">
        <v>728</v>
      </c>
      <c r="D147" s="254" t="s">
        <v>701</v>
      </c>
      <c r="E147" s="254" t="s">
        <v>729</v>
      </c>
      <c r="F147" s="47" t="s">
        <v>114</v>
      </c>
      <c r="G147" s="47" t="s">
        <v>104</v>
      </c>
      <c r="H147" s="58">
        <f>IF(F147='Risk Methedology Matrix'!B$26,5,IF(F147='Risk Methedology Matrix'!B$27,4,IF(F147='Risk Methedology Matrix'!B$28,3,IF(F147='Risk Methedology Matrix'!B$29,2,IF(F147='Risk Methedology Matrix'!B$30,1,0)))))</f>
        <v>3</v>
      </c>
      <c r="I147" s="58">
        <f>IF(G147='Risk Methedology Matrix'!G$25,5,IF(G147='Risk Methedology Matrix'!F$25,4,IF(G147='Risk Methedology Matrix'!E$25,3,IF(G147='Risk Methedology Matrix'!D$25,2,IF(G147='Risk Methedology Matrix'!C$25,1,0)))))</f>
        <v>3</v>
      </c>
      <c r="J147" s="58" t="str">
        <f t="shared" si="9"/>
        <v>Medium</v>
      </c>
      <c r="K147" s="254" t="s">
        <v>785</v>
      </c>
      <c r="L147" s="47" t="s">
        <v>169</v>
      </c>
      <c r="M147" s="58" t="str">
        <f t="shared" ref="M147:M210" si="11">IF(OR(J147="",L147=""),"",
IF(AND(J147="Very High",L147="Excellent"),"Low",
IF(AND(J147="Very High",L147="Good"),"Medium",
IF(AND(J147="Very High",L147="Fair"),"High",
IF(AND(J147="Very High",L147="Poor"),"Very High",
IF(AND(J147="Very High",L147="Unsatisfactory"),"Very High",
IF(AND(J147="High",L147="Excellent"),"Very Low",
IF(AND(J147="High",L147="Good"),"Low",
IF(AND(J147="High",L147="Fair"),"Medium",
IF(AND(J147="High",L147="Poor"),"High",
IF(AND(J147="High",L147="Unsatisfactory"),"High",
IF(AND(J147="Medium",L147="Excellent"),"Very Low",
IF(AND(J147="Medium",L147="Good"),"Very Low",
IF(AND(J147="Medium",L147="Fair"),"Low",
IF(AND(J147="Medium",L147="Poor"),"Medium",
IF(AND(J147="Medium",L147="Unsatisfactory"),"Medium",
IF(AND(J147="Low",L147="Excellent"),"Very Low",
IF(AND(J147="Low",L147="Good"),"Very Low",
IF(AND(J147="Low",L147="Fair"),"Very Low",
IF(AND(J147="Low",L147="Poor"),"Low",
IF(AND(J147="Low",L147="Unsatisfactory"),"Low",
IF(AND(J147="Very Low",L147="Excellent"),"Very Low",
IF(AND(J147="Very Low",L147="Good"),"Very Low",
IF(AND(J147="Very Low",L147="Fair"),"Very Low",
IF(AND(J147="Very Low",L147="Poor"),"Very Low",
IF(AND(J147="Very Low",L147="Unsatisfactory"),"Very Low",""))))))))))))))))))))))))))</f>
        <v>Very Low</v>
      </c>
      <c r="N147" s="96"/>
      <c r="O147" s="112"/>
      <c r="P147" s="112"/>
      <c r="Q147" s="104"/>
      <c r="R147" s="65"/>
      <c r="S147" s="154" t="str">
        <f t="shared" si="10"/>
        <v/>
      </c>
      <c r="U147" s="138"/>
      <c r="V147" s="139"/>
    </row>
    <row r="148" spans="1:22" ht="103.5" customHeight="1">
      <c r="A148" s="254" t="s">
        <v>730</v>
      </c>
      <c r="B148" s="254" t="s">
        <v>88</v>
      </c>
      <c r="C148" s="254" t="s">
        <v>731</v>
      </c>
      <c r="D148" s="254" t="s">
        <v>701</v>
      </c>
      <c r="E148" s="254" t="s">
        <v>732</v>
      </c>
      <c r="F148" s="47" t="s">
        <v>83</v>
      </c>
      <c r="G148" s="47" t="s">
        <v>104</v>
      </c>
      <c r="H148" s="58">
        <f>IF(F148='Risk Methedology Matrix'!B$26,5,IF(F148='Risk Methedology Matrix'!B$27,4,IF(F148='Risk Methedology Matrix'!B$28,3,IF(F148='Risk Methedology Matrix'!B$29,2,IF(F148='Risk Methedology Matrix'!B$30,1,0)))))</f>
        <v>4</v>
      </c>
      <c r="I148" s="58">
        <f>IF(G148='Risk Methedology Matrix'!G$25,5,IF(G148='Risk Methedology Matrix'!F$25,4,IF(G148='Risk Methedology Matrix'!E$25,3,IF(G148='Risk Methedology Matrix'!D$25,2,IF(G148='Risk Methedology Matrix'!C$25,1,0)))))</f>
        <v>3</v>
      </c>
      <c r="J148" s="58" t="str">
        <f t="shared" si="9"/>
        <v>High</v>
      </c>
      <c r="K148" s="254" t="s">
        <v>786</v>
      </c>
      <c r="L148" s="47" t="s">
        <v>169</v>
      </c>
      <c r="M148" s="58" t="str">
        <f t="shared" si="11"/>
        <v>Low</v>
      </c>
      <c r="N148" s="96"/>
      <c r="O148" s="112"/>
      <c r="P148" s="112"/>
      <c r="Q148" s="104"/>
      <c r="R148" s="65"/>
      <c r="S148" s="154" t="str">
        <f t="shared" si="10"/>
        <v/>
      </c>
      <c r="U148" s="138"/>
      <c r="V148" s="139"/>
    </row>
    <row r="149" spans="1:22" ht="103.5" customHeight="1">
      <c r="A149" s="254" t="s">
        <v>733</v>
      </c>
      <c r="B149" s="254" t="s">
        <v>88</v>
      </c>
      <c r="C149" s="254" t="s">
        <v>734</v>
      </c>
      <c r="D149" s="254" t="s">
        <v>701</v>
      </c>
      <c r="E149" s="254" t="s">
        <v>735</v>
      </c>
      <c r="F149" s="47" t="s">
        <v>126</v>
      </c>
      <c r="G149" s="47" t="s">
        <v>104</v>
      </c>
      <c r="H149" s="58">
        <f>IF(F149='Risk Methedology Matrix'!B$26,5,IF(F149='Risk Methedology Matrix'!B$27,4,IF(F149='Risk Methedology Matrix'!B$28,3,IF(F149='Risk Methedology Matrix'!B$29,2,IF(F149='Risk Methedology Matrix'!B$30,1,0)))))</f>
        <v>2</v>
      </c>
      <c r="I149" s="58">
        <f>IF(G149='Risk Methedology Matrix'!G$25,5,IF(G149='Risk Methedology Matrix'!F$25,4,IF(G149='Risk Methedology Matrix'!E$25,3,IF(G149='Risk Methedology Matrix'!D$25,2,IF(G149='Risk Methedology Matrix'!C$25,1,0)))))</f>
        <v>3</v>
      </c>
      <c r="J149" s="58" t="str">
        <f t="shared" si="9"/>
        <v>Medium</v>
      </c>
      <c r="K149" s="254" t="s">
        <v>787</v>
      </c>
      <c r="L149" s="47" t="s">
        <v>98</v>
      </c>
      <c r="M149" s="58" t="str">
        <f t="shared" si="11"/>
        <v>Very Low</v>
      </c>
      <c r="N149" s="96"/>
      <c r="O149" s="112"/>
      <c r="P149" s="112"/>
      <c r="Q149" s="104"/>
      <c r="R149" s="65"/>
      <c r="S149" s="154" t="str">
        <f t="shared" si="10"/>
        <v/>
      </c>
      <c r="U149" s="140"/>
      <c r="V149" s="141"/>
    </row>
    <row r="150" spans="1:22" ht="23">
      <c r="A150" s="254" t="s">
        <v>736</v>
      </c>
      <c r="B150" s="254" t="s">
        <v>88</v>
      </c>
      <c r="C150" s="254" t="s">
        <v>737</v>
      </c>
      <c r="D150" s="254" t="s">
        <v>701</v>
      </c>
      <c r="E150" s="254" t="s">
        <v>738</v>
      </c>
      <c r="F150" s="47" t="s">
        <v>109</v>
      </c>
      <c r="G150" s="47" t="s">
        <v>104</v>
      </c>
      <c r="H150" s="58">
        <f>IF(F150='Risk Methedology Matrix'!B$26,5,IF(F150='Risk Methedology Matrix'!B$27,4,IF(F150='Risk Methedology Matrix'!B$28,3,IF(F150='Risk Methedology Matrix'!B$29,2,IF(F150='Risk Methedology Matrix'!B$30,1,0)))))</f>
        <v>5</v>
      </c>
      <c r="I150" s="58">
        <f>IF(G150='Risk Methedology Matrix'!G$25,5,IF(G150='Risk Methedology Matrix'!F$25,4,IF(G150='Risk Methedology Matrix'!E$25,3,IF(G150='Risk Methedology Matrix'!D$25,2,IF(G150='Risk Methedology Matrix'!C$25,1,0)))))</f>
        <v>3</v>
      </c>
      <c r="J150" s="58" t="str">
        <f t="shared" si="9"/>
        <v>High</v>
      </c>
      <c r="K150" s="254" t="s">
        <v>788</v>
      </c>
      <c r="L150" s="47" t="s">
        <v>85</v>
      </c>
      <c r="M150" s="58" t="str">
        <f t="shared" si="11"/>
        <v>Medium</v>
      </c>
      <c r="N150" s="96"/>
      <c r="O150" s="112"/>
      <c r="P150" s="112"/>
      <c r="Q150" s="104"/>
      <c r="R150" s="65"/>
      <c r="S150" s="154" t="str">
        <f t="shared" si="10"/>
        <v/>
      </c>
      <c r="U150" s="140"/>
      <c r="V150" s="141"/>
    </row>
    <row r="151" spans="1:22" ht="23">
      <c r="A151" s="254" t="s">
        <v>739</v>
      </c>
      <c r="B151" s="254" t="s">
        <v>88</v>
      </c>
      <c r="C151" s="254" t="s">
        <v>740</v>
      </c>
      <c r="D151" s="254" t="s">
        <v>701</v>
      </c>
      <c r="E151" s="254" t="s">
        <v>741</v>
      </c>
      <c r="F151" s="47" t="s">
        <v>114</v>
      </c>
      <c r="G151" s="47" t="s">
        <v>104</v>
      </c>
      <c r="H151" s="58">
        <f>IF(F151='Risk Methedology Matrix'!B$26,5,IF(F151='Risk Methedology Matrix'!B$27,4,IF(F151='Risk Methedology Matrix'!B$28,3,IF(F151='Risk Methedology Matrix'!B$29,2,IF(F151='Risk Methedology Matrix'!B$30,1,0)))))</f>
        <v>3</v>
      </c>
      <c r="I151" s="58">
        <f>IF(G151='Risk Methedology Matrix'!G$25,5,IF(G151='Risk Methedology Matrix'!F$25,4,IF(G151='Risk Methedology Matrix'!E$25,3,IF(G151='Risk Methedology Matrix'!D$25,2,IF(G151='Risk Methedology Matrix'!C$25,1,0)))))</f>
        <v>3</v>
      </c>
      <c r="J151" s="58" t="str">
        <f t="shared" si="9"/>
        <v>Medium</v>
      </c>
      <c r="K151" s="254" t="s">
        <v>789</v>
      </c>
      <c r="L151" s="47" t="s">
        <v>85</v>
      </c>
      <c r="M151" s="58" t="str">
        <f t="shared" si="11"/>
        <v>Low</v>
      </c>
      <c r="N151" s="96"/>
      <c r="O151" s="112"/>
      <c r="P151" s="112"/>
      <c r="Q151" s="104"/>
      <c r="R151" s="65"/>
      <c r="S151" s="154" t="str">
        <f t="shared" si="10"/>
        <v/>
      </c>
      <c r="U151" s="140"/>
      <c r="V151" s="141"/>
    </row>
    <row r="152" spans="1:22" ht="23">
      <c r="A152" s="254" t="s">
        <v>742</v>
      </c>
      <c r="B152" s="254" t="s">
        <v>88</v>
      </c>
      <c r="C152" s="254" t="s">
        <v>743</v>
      </c>
      <c r="D152" s="254" t="s">
        <v>701</v>
      </c>
      <c r="E152" s="254" t="s">
        <v>744</v>
      </c>
      <c r="F152" s="47" t="s">
        <v>114</v>
      </c>
      <c r="G152" s="47" t="s">
        <v>104</v>
      </c>
      <c r="H152" s="58">
        <f>IF(F152='Risk Methedology Matrix'!B$26,5,IF(F152='Risk Methedology Matrix'!B$27,4,IF(F152='Risk Methedology Matrix'!B$28,3,IF(F152='Risk Methedology Matrix'!B$29,2,IF(F152='Risk Methedology Matrix'!B$30,1,0)))))</f>
        <v>3</v>
      </c>
      <c r="I152" s="58">
        <f>IF(G152='Risk Methedology Matrix'!G$25,5,IF(G152='Risk Methedology Matrix'!F$25,4,IF(G152='Risk Methedology Matrix'!E$25,3,IF(G152='Risk Methedology Matrix'!D$25,2,IF(G152='Risk Methedology Matrix'!C$25,1,0)))))</f>
        <v>3</v>
      </c>
      <c r="J152" s="58" t="str">
        <f t="shared" si="9"/>
        <v>Medium</v>
      </c>
      <c r="K152" s="254" t="s">
        <v>790</v>
      </c>
      <c r="L152" s="47" t="s">
        <v>85</v>
      </c>
      <c r="M152" s="58" t="str">
        <f t="shared" si="11"/>
        <v>Low</v>
      </c>
      <c r="N152" s="96"/>
      <c r="O152" s="112"/>
      <c r="P152" s="112"/>
      <c r="Q152" s="104"/>
      <c r="R152" s="65"/>
      <c r="S152" s="154" t="str">
        <f t="shared" si="10"/>
        <v/>
      </c>
      <c r="U152" s="140"/>
      <c r="V152" s="141"/>
    </row>
    <row r="153" spans="1:22" ht="34.5">
      <c r="A153" s="254" t="s">
        <v>745</v>
      </c>
      <c r="B153" s="254" t="s">
        <v>88</v>
      </c>
      <c r="C153" s="254" t="s">
        <v>746</v>
      </c>
      <c r="D153" s="254" t="s">
        <v>701</v>
      </c>
      <c r="E153" s="254" t="s">
        <v>747</v>
      </c>
      <c r="F153" s="47" t="s">
        <v>114</v>
      </c>
      <c r="G153" s="47" t="s">
        <v>104</v>
      </c>
      <c r="H153" s="58">
        <f>IF(F153='Risk Methedology Matrix'!B$26,5,IF(F153='Risk Methedology Matrix'!B$27,4,IF(F153='Risk Methedology Matrix'!B$28,3,IF(F153='Risk Methedology Matrix'!B$29,2,IF(F153='Risk Methedology Matrix'!B$30,1,0)))))</f>
        <v>3</v>
      </c>
      <c r="I153" s="58">
        <f>IF(G153='Risk Methedology Matrix'!G$25,5,IF(G153='Risk Methedology Matrix'!F$25,4,IF(G153='Risk Methedology Matrix'!E$25,3,IF(G153='Risk Methedology Matrix'!D$25,2,IF(G153='Risk Methedology Matrix'!C$25,1,0)))))</f>
        <v>3</v>
      </c>
      <c r="J153" s="58" t="str">
        <f t="shared" si="9"/>
        <v>Medium</v>
      </c>
      <c r="K153" s="254" t="s">
        <v>791</v>
      </c>
      <c r="L153" s="47" t="s">
        <v>85</v>
      </c>
      <c r="M153" s="58" t="str">
        <f t="shared" si="11"/>
        <v>Low</v>
      </c>
      <c r="N153" s="96"/>
      <c r="O153" s="112"/>
      <c r="P153" s="112"/>
      <c r="Q153" s="104"/>
      <c r="R153" s="65"/>
      <c r="S153" s="154" t="str">
        <f t="shared" si="10"/>
        <v/>
      </c>
      <c r="U153" s="140"/>
      <c r="V153" s="141"/>
    </row>
    <row r="154" spans="1:22" ht="23">
      <c r="A154" s="254" t="s">
        <v>748</v>
      </c>
      <c r="B154" s="254" t="s">
        <v>79</v>
      </c>
      <c r="C154" s="254" t="s">
        <v>749</v>
      </c>
      <c r="D154" s="254" t="s">
        <v>701</v>
      </c>
      <c r="E154" s="254" t="s">
        <v>750</v>
      </c>
      <c r="F154" s="47" t="s">
        <v>114</v>
      </c>
      <c r="G154" s="47" t="s">
        <v>104</v>
      </c>
      <c r="H154" s="58">
        <f>IF(F154='Risk Methedology Matrix'!B$26,5,IF(F154='Risk Methedology Matrix'!B$27,4,IF(F154='Risk Methedology Matrix'!B$28,3,IF(F154='Risk Methedology Matrix'!B$29,2,IF(F154='Risk Methedology Matrix'!B$30,1,0)))))</f>
        <v>3</v>
      </c>
      <c r="I154" s="58">
        <f>IF(G154='Risk Methedology Matrix'!G$25,5,IF(G154='Risk Methedology Matrix'!F$25,4,IF(G154='Risk Methedology Matrix'!E$25,3,IF(G154='Risk Methedology Matrix'!D$25,2,IF(G154='Risk Methedology Matrix'!C$25,1,0)))))</f>
        <v>3</v>
      </c>
      <c r="J154" s="58" t="str">
        <f t="shared" si="9"/>
        <v>Medium</v>
      </c>
      <c r="K154" s="254" t="s">
        <v>792</v>
      </c>
      <c r="L154" s="47" t="s">
        <v>85</v>
      </c>
      <c r="M154" s="58" t="str">
        <f t="shared" si="11"/>
        <v>Low</v>
      </c>
      <c r="N154" s="96"/>
      <c r="O154" s="112"/>
      <c r="P154" s="112"/>
      <c r="Q154" s="104"/>
      <c r="R154" s="65"/>
      <c r="S154" s="154" t="str">
        <f t="shared" si="10"/>
        <v/>
      </c>
      <c r="U154" s="140"/>
      <c r="V154" s="141"/>
    </row>
    <row r="155" spans="1:22" ht="23">
      <c r="A155" s="254" t="s">
        <v>751</v>
      </c>
      <c r="B155" s="254" t="s">
        <v>338</v>
      </c>
      <c r="C155" s="254" t="s">
        <v>752</v>
      </c>
      <c r="D155" s="254" t="s">
        <v>701</v>
      </c>
      <c r="E155" s="254" t="s">
        <v>753</v>
      </c>
      <c r="F155" s="47" t="s">
        <v>83</v>
      </c>
      <c r="G155" s="47" t="s">
        <v>104</v>
      </c>
      <c r="H155" s="58">
        <f>IF(F155='Risk Methedology Matrix'!B$26,5,IF(F155='Risk Methedology Matrix'!B$27,4,IF(F155='Risk Methedology Matrix'!B$28,3,IF(F155='Risk Methedology Matrix'!B$29,2,IF(F155='Risk Methedology Matrix'!B$30,1,0)))))</f>
        <v>4</v>
      </c>
      <c r="I155" s="58">
        <f>IF(G155='Risk Methedology Matrix'!G$25,5,IF(G155='Risk Methedology Matrix'!F$25,4,IF(G155='Risk Methedology Matrix'!E$25,3,IF(G155='Risk Methedology Matrix'!D$25,2,IF(G155='Risk Methedology Matrix'!C$25,1,0)))))</f>
        <v>3</v>
      </c>
      <c r="J155" s="58" t="str">
        <f t="shared" si="9"/>
        <v>High</v>
      </c>
      <c r="K155" s="254" t="s">
        <v>793</v>
      </c>
      <c r="L155" s="47" t="s">
        <v>85</v>
      </c>
      <c r="M155" s="58" t="str">
        <f t="shared" si="11"/>
        <v>Medium</v>
      </c>
      <c r="N155" s="96"/>
      <c r="O155" s="112"/>
      <c r="P155" s="112"/>
      <c r="Q155" s="104"/>
      <c r="R155" s="65"/>
      <c r="S155" s="154" t="str">
        <f t="shared" si="10"/>
        <v/>
      </c>
      <c r="U155" s="140"/>
      <c r="V155" s="141"/>
    </row>
    <row r="156" spans="1:22" ht="34.5">
      <c r="A156" s="254" t="s">
        <v>754</v>
      </c>
      <c r="B156" s="254" t="s">
        <v>755</v>
      </c>
      <c r="C156" s="254" t="s">
        <v>756</v>
      </c>
      <c r="D156" s="254" t="s">
        <v>701</v>
      </c>
      <c r="E156" s="254" t="s">
        <v>757</v>
      </c>
      <c r="F156" s="47" t="s">
        <v>83</v>
      </c>
      <c r="G156" s="47" t="s">
        <v>104</v>
      </c>
      <c r="H156" s="58">
        <f>IF(F156='Risk Methedology Matrix'!B$26,5,IF(F156='Risk Methedology Matrix'!B$27,4,IF(F156='Risk Methedology Matrix'!B$28,3,IF(F156='Risk Methedology Matrix'!B$29,2,IF(F156='Risk Methedology Matrix'!B$30,1,0)))))</f>
        <v>4</v>
      </c>
      <c r="I156" s="58">
        <f>IF(G156='Risk Methedology Matrix'!G$25,5,IF(G156='Risk Methedology Matrix'!F$25,4,IF(G156='Risk Methedology Matrix'!E$25,3,IF(G156='Risk Methedology Matrix'!D$25,2,IF(G156='Risk Methedology Matrix'!C$25,1,0)))))</f>
        <v>3</v>
      </c>
      <c r="J156" s="58" t="str">
        <f t="shared" si="9"/>
        <v>High</v>
      </c>
      <c r="K156" s="254" t="s">
        <v>794</v>
      </c>
      <c r="L156" s="47" t="s">
        <v>85</v>
      </c>
      <c r="M156" s="58" t="str">
        <f t="shared" si="11"/>
        <v>Medium</v>
      </c>
      <c r="N156" s="96"/>
      <c r="O156" s="112"/>
      <c r="P156" s="112"/>
      <c r="Q156" s="104"/>
      <c r="R156" s="65"/>
      <c r="S156" s="154" t="str">
        <f t="shared" si="10"/>
        <v/>
      </c>
      <c r="U156" s="140"/>
      <c r="V156" s="141"/>
    </row>
    <row r="157" spans="1:22" ht="23">
      <c r="A157" s="254" t="s">
        <v>758</v>
      </c>
      <c r="B157" s="254" t="s">
        <v>88</v>
      </c>
      <c r="C157" s="254" t="s">
        <v>759</v>
      </c>
      <c r="D157" s="254" t="s">
        <v>701</v>
      </c>
      <c r="E157" s="254" t="s">
        <v>760</v>
      </c>
      <c r="F157" s="47" t="s">
        <v>114</v>
      </c>
      <c r="G157" s="47" t="s">
        <v>104</v>
      </c>
      <c r="H157" s="58">
        <f>IF(F157='Risk Methedology Matrix'!B$26,5,IF(F157='Risk Methedology Matrix'!B$27,4,IF(F157='Risk Methedology Matrix'!B$28,3,IF(F157='Risk Methedology Matrix'!B$29,2,IF(F157='Risk Methedology Matrix'!B$30,1,0)))))</f>
        <v>3</v>
      </c>
      <c r="I157" s="58">
        <f>IF(G157='Risk Methedology Matrix'!G$25,5,IF(G157='Risk Methedology Matrix'!F$25,4,IF(G157='Risk Methedology Matrix'!E$25,3,IF(G157='Risk Methedology Matrix'!D$25,2,IF(G157='Risk Methedology Matrix'!C$25,1,0)))))</f>
        <v>3</v>
      </c>
      <c r="J157" s="58" t="str">
        <f t="shared" si="9"/>
        <v>Medium</v>
      </c>
      <c r="K157" s="254" t="s">
        <v>795</v>
      </c>
      <c r="L157" s="47" t="s">
        <v>85</v>
      </c>
      <c r="M157" s="58" t="str">
        <f t="shared" si="11"/>
        <v>Low</v>
      </c>
      <c r="N157" s="96"/>
      <c r="O157" s="112"/>
      <c r="P157" s="113"/>
      <c r="Q157" s="104"/>
      <c r="R157" s="65"/>
      <c r="S157" s="154" t="str">
        <f t="shared" si="10"/>
        <v/>
      </c>
      <c r="U157" s="140"/>
      <c r="V157" s="141"/>
    </row>
    <row r="158" spans="1:22" ht="34.5">
      <c r="A158" s="254" t="s">
        <v>761</v>
      </c>
      <c r="B158" s="254" t="s">
        <v>88</v>
      </c>
      <c r="C158" s="254" t="s">
        <v>762</v>
      </c>
      <c r="D158" s="254" t="s">
        <v>701</v>
      </c>
      <c r="E158" s="254" t="s">
        <v>763</v>
      </c>
      <c r="F158" s="47" t="s">
        <v>83</v>
      </c>
      <c r="G158" s="47" t="s">
        <v>104</v>
      </c>
      <c r="H158" s="58">
        <f>IF(F158='Risk Methedology Matrix'!B$26,5,IF(F158='Risk Methedology Matrix'!B$27,4,IF(F158='Risk Methedology Matrix'!B$28,3,IF(F158='Risk Methedology Matrix'!B$29,2,IF(F158='Risk Methedology Matrix'!B$30,1,0)))))</f>
        <v>4</v>
      </c>
      <c r="I158" s="58">
        <f>IF(G158='Risk Methedology Matrix'!G$25,5,IF(G158='Risk Methedology Matrix'!F$25,4,IF(G158='Risk Methedology Matrix'!E$25,3,IF(G158='Risk Methedology Matrix'!D$25,2,IF(G158='Risk Methedology Matrix'!C$25,1,0)))))</f>
        <v>3</v>
      </c>
      <c r="J158" s="58" t="str">
        <f t="shared" si="9"/>
        <v>High</v>
      </c>
      <c r="K158" s="254" t="s">
        <v>796</v>
      </c>
      <c r="L158" s="47" t="s">
        <v>85</v>
      </c>
      <c r="M158" s="58" t="str">
        <f t="shared" si="11"/>
        <v>Medium</v>
      </c>
      <c r="N158" s="96"/>
      <c r="O158" s="112"/>
      <c r="P158" s="113"/>
      <c r="Q158" s="104"/>
      <c r="R158" s="65"/>
      <c r="S158" s="154" t="str">
        <f t="shared" si="10"/>
        <v/>
      </c>
      <c r="U158" s="140"/>
      <c r="V158" s="141"/>
    </row>
    <row r="159" spans="1:22" ht="34.5">
      <c r="A159" s="254" t="s">
        <v>764</v>
      </c>
      <c r="B159" s="254" t="s">
        <v>88</v>
      </c>
      <c r="C159" s="254" t="s">
        <v>765</v>
      </c>
      <c r="D159" s="254" t="s">
        <v>701</v>
      </c>
      <c r="E159" s="254" t="s">
        <v>766</v>
      </c>
      <c r="F159" s="47" t="s">
        <v>114</v>
      </c>
      <c r="G159" s="47" t="s">
        <v>104</v>
      </c>
      <c r="H159" s="58">
        <f>IF(F159='Risk Methedology Matrix'!B$26,5,IF(F159='Risk Methedology Matrix'!B$27,4,IF(F159='Risk Methedology Matrix'!B$28,3,IF(F159='Risk Methedology Matrix'!B$29,2,IF(F159='Risk Methedology Matrix'!B$30,1,0)))))</f>
        <v>3</v>
      </c>
      <c r="I159" s="58">
        <f>IF(G159='Risk Methedology Matrix'!G$25,5,IF(G159='Risk Methedology Matrix'!F$25,4,IF(G159='Risk Methedology Matrix'!E$25,3,IF(G159='Risk Methedology Matrix'!D$25,2,IF(G159='Risk Methedology Matrix'!C$25,1,0)))))</f>
        <v>3</v>
      </c>
      <c r="J159" s="58" t="str">
        <f t="shared" si="9"/>
        <v>Medium</v>
      </c>
      <c r="K159" s="254" t="s">
        <v>797</v>
      </c>
      <c r="L159" s="47" t="s">
        <v>85</v>
      </c>
      <c r="M159" s="58" t="str">
        <f t="shared" si="11"/>
        <v>Low</v>
      </c>
      <c r="N159" s="96"/>
      <c r="O159" s="112"/>
      <c r="P159" s="113"/>
      <c r="Q159" s="104"/>
      <c r="R159" s="65"/>
      <c r="S159" s="154" t="str">
        <f t="shared" si="10"/>
        <v/>
      </c>
      <c r="U159" s="140"/>
      <c r="V159" s="141"/>
    </row>
    <row r="160" spans="1:22" ht="12.5">
      <c r="A160" s="254" t="s">
        <v>767</v>
      </c>
      <c r="B160" s="254" t="s">
        <v>88</v>
      </c>
      <c r="C160" s="254" t="s">
        <v>768</v>
      </c>
      <c r="D160" s="254" t="s">
        <v>701</v>
      </c>
      <c r="E160" s="254" t="s">
        <v>769</v>
      </c>
      <c r="F160" s="47" t="s">
        <v>109</v>
      </c>
      <c r="G160" s="47" t="s">
        <v>104</v>
      </c>
      <c r="H160" s="58">
        <f>IF(F160='Risk Methedology Matrix'!B$26,5,IF(F160='Risk Methedology Matrix'!B$27,4,IF(F160='Risk Methedology Matrix'!B$28,3,IF(F160='Risk Methedology Matrix'!B$29,2,IF(F160='Risk Methedology Matrix'!B$30,1,0)))))</f>
        <v>5</v>
      </c>
      <c r="I160" s="58">
        <f>IF(G160='Risk Methedology Matrix'!G$25,5,IF(G160='Risk Methedology Matrix'!F$25,4,IF(G160='Risk Methedology Matrix'!E$25,3,IF(G160='Risk Methedology Matrix'!D$25,2,IF(G160='Risk Methedology Matrix'!C$25,1,0)))))</f>
        <v>3</v>
      </c>
      <c r="J160" s="58" t="str">
        <f t="shared" si="9"/>
        <v>High</v>
      </c>
      <c r="K160" s="312" t="s">
        <v>1772</v>
      </c>
      <c r="L160" s="47" t="s">
        <v>85</v>
      </c>
      <c r="M160" s="58" t="str">
        <f t="shared" si="11"/>
        <v>Medium</v>
      </c>
      <c r="N160" s="96"/>
      <c r="O160" s="112"/>
      <c r="P160" s="112"/>
      <c r="Q160" s="104"/>
      <c r="R160" s="65"/>
      <c r="S160" s="154" t="str">
        <f t="shared" si="10"/>
        <v/>
      </c>
      <c r="U160" s="140"/>
      <c r="V160" s="141"/>
    </row>
    <row r="161" spans="1:22" ht="23">
      <c r="A161" s="254" t="s">
        <v>770</v>
      </c>
      <c r="B161" s="254" t="s">
        <v>117</v>
      </c>
      <c r="C161" s="254" t="s">
        <v>771</v>
      </c>
      <c r="D161" s="254" t="s">
        <v>701</v>
      </c>
      <c r="E161" s="254" t="s">
        <v>772</v>
      </c>
      <c r="F161" s="47" t="s">
        <v>114</v>
      </c>
      <c r="G161" s="47" t="s">
        <v>104</v>
      </c>
      <c r="H161" s="58">
        <f>IF(F161='Risk Methedology Matrix'!B$26,5,IF(F161='Risk Methedology Matrix'!B$27,4,IF(F161='Risk Methedology Matrix'!B$28,3,IF(F161='Risk Methedology Matrix'!B$29,2,IF(F161='Risk Methedology Matrix'!B$30,1,0)))))</f>
        <v>3</v>
      </c>
      <c r="I161" s="58">
        <f>IF(G161='Risk Methedology Matrix'!G$25,5,IF(G161='Risk Methedology Matrix'!F$25,4,IF(G161='Risk Methedology Matrix'!E$25,3,IF(G161='Risk Methedology Matrix'!D$25,2,IF(G161='Risk Methedology Matrix'!C$25,1,0)))))</f>
        <v>3</v>
      </c>
      <c r="J161" s="58" t="str">
        <f t="shared" si="9"/>
        <v>Medium</v>
      </c>
      <c r="K161" s="254" t="s">
        <v>798</v>
      </c>
      <c r="L161" s="47" t="s">
        <v>85</v>
      </c>
      <c r="M161" s="58" t="str">
        <f t="shared" si="11"/>
        <v>Low</v>
      </c>
      <c r="N161" s="96"/>
      <c r="O161" s="114"/>
      <c r="P161" s="114"/>
      <c r="Q161" s="104"/>
      <c r="R161" s="65"/>
      <c r="S161" s="154" t="str">
        <f t="shared" si="10"/>
        <v/>
      </c>
      <c r="U161" s="140"/>
      <c r="V161" s="141"/>
    </row>
    <row r="162" spans="1:22" ht="69">
      <c r="A162" s="254" t="s">
        <v>773</v>
      </c>
      <c r="B162" s="254" t="s">
        <v>355</v>
      </c>
      <c r="C162" s="254" t="s">
        <v>774</v>
      </c>
      <c r="D162" s="254" t="s">
        <v>701</v>
      </c>
      <c r="E162" s="254" t="s">
        <v>775</v>
      </c>
      <c r="F162" s="47" t="s">
        <v>114</v>
      </c>
      <c r="G162" s="47" t="s">
        <v>104</v>
      </c>
      <c r="H162" s="58">
        <f>IF(F162='Risk Methedology Matrix'!B$26,5,IF(F162='Risk Methedology Matrix'!B$27,4,IF(F162='Risk Methedology Matrix'!B$28,3,IF(F162='Risk Methedology Matrix'!B$29,2,IF(F162='Risk Methedology Matrix'!B$30,1,0)))))</f>
        <v>3</v>
      </c>
      <c r="I162" s="58">
        <f>IF(G162='Risk Methedology Matrix'!G$25,5,IF(G162='Risk Methedology Matrix'!F$25,4,IF(G162='Risk Methedology Matrix'!E$25,3,IF(G162='Risk Methedology Matrix'!D$25,2,IF(G162='Risk Methedology Matrix'!C$25,1,0)))))</f>
        <v>3</v>
      </c>
      <c r="J162" s="58" t="str">
        <f t="shared" si="9"/>
        <v>Medium</v>
      </c>
      <c r="K162" s="312" t="s">
        <v>1773</v>
      </c>
      <c r="L162" s="47" t="s">
        <v>85</v>
      </c>
      <c r="M162" s="58" t="str">
        <f t="shared" si="11"/>
        <v>Low</v>
      </c>
      <c r="N162" s="117"/>
      <c r="O162" s="118"/>
      <c r="P162" s="119"/>
      <c r="Q162" s="120"/>
      <c r="R162" s="65"/>
      <c r="S162" s="154" t="str">
        <f t="shared" si="10"/>
        <v/>
      </c>
      <c r="U162" s="140"/>
      <c r="V162" s="141"/>
    </row>
    <row r="163" spans="1:22" ht="50">
      <c r="A163" s="272" t="s">
        <v>799</v>
      </c>
      <c r="B163" s="257" t="s">
        <v>79</v>
      </c>
      <c r="C163" s="257" t="s">
        <v>800</v>
      </c>
      <c r="D163" s="305" t="s">
        <v>801</v>
      </c>
      <c r="E163" s="115" t="s">
        <v>802</v>
      </c>
      <c r="F163" s="47" t="s">
        <v>83</v>
      </c>
      <c r="G163" s="47" t="s">
        <v>84</v>
      </c>
      <c r="H163" s="58">
        <f>IF(F163='Risk Methedology Matrix'!B$26,5,IF(F163='Risk Methedology Matrix'!B$27,4,IF(F163='Risk Methedology Matrix'!B$28,3,IF(F163='Risk Methedology Matrix'!B$29,2,IF(F163='Risk Methedology Matrix'!B$30,1,0)))))</f>
        <v>4</v>
      </c>
      <c r="I163" s="58">
        <f>IF(G163='Risk Methedology Matrix'!G$25,5,IF(G163='Risk Methedology Matrix'!F$25,4,IF(G163='Risk Methedology Matrix'!E$25,3,IF(G163='Risk Methedology Matrix'!D$25,2,IF(G163='Risk Methedology Matrix'!C$25,1,0)))))</f>
        <v>4</v>
      </c>
      <c r="J163" s="58" t="str">
        <f t="shared" ref="J163:J181" si="12">IF(OR(F163="",G163=""),"",IF(H163*I163&gt;=20,"Very High",IF(AND(H163*I163&lt;20,H163*I163&gt;=11),"High",IF(AND(H163*I163&lt;11,H163*I163&gt;=6),"Medium",IF(AND(H163*I163&lt;6,H163*I163&gt;=3),"Low",IF(AND(H163*I163&lt;3,H163*I163&gt;=1),"Very Low",""))))))</f>
        <v>High</v>
      </c>
      <c r="K163" s="116" t="s">
        <v>851</v>
      </c>
      <c r="L163" s="47" t="s">
        <v>169</v>
      </c>
      <c r="M163" s="58" t="str">
        <f t="shared" si="11"/>
        <v>Low</v>
      </c>
      <c r="N163" s="26"/>
      <c r="O163" s="26"/>
      <c r="P163" s="26"/>
      <c r="Q163" s="26"/>
      <c r="R163" s="65"/>
      <c r="S163" s="154" t="str">
        <f t="shared" si="10"/>
        <v/>
      </c>
      <c r="U163" s="140"/>
      <c r="V163" s="141"/>
    </row>
    <row r="164" spans="1:22" ht="25">
      <c r="A164" s="272" t="s">
        <v>803</v>
      </c>
      <c r="B164" s="257" t="s">
        <v>88</v>
      </c>
      <c r="C164" s="257" t="s">
        <v>804</v>
      </c>
      <c r="D164" s="305" t="s">
        <v>801</v>
      </c>
      <c r="E164" s="115" t="s">
        <v>805</v>
      </c>
      <c r="F164" s="47" t="s">
        <v>114</v>
      </c>
      <c r="G164" s="47" t="s">
        <v>84</v>
      </c>
      <c r="H164" s="58">
        <f>IF(F164='Risk Methedology Matrix'!B$26,5,IF(F164='Risk Methedology Matrix'!B$27,4,IF(F164='Risk Methedology Matrix'!B$28,3,IF(F164='Risk Methedology Matrix'!B$29,2,IF(F164='Risk Methedology Matrix'!B$30,1,0)))))</f>
        <v>3</v>
      </c>
      <c r="I164" s="58">
        <f>IF(G164='Risk Methedology Matrix'!G$25,5,IF(G164='Risk Methedology Matrix'!F$25,4,IF(G164='Risk Methedology Matrix'!E$25,3,IF(G164='Risk Methedology Matrix'!D$25,2,IF(G164='Risk Methedology Matrix'!C$25,1,0)))))</f>
        <v>4</v>
      </c>
      <c r="J164" s="58" t="str">
        <f t="shared" si="12"/>
        <v>High</v>
      </c>
      <c r="K164" s="116" t="s">
        <v>852</v>
      </c>
      <c r="L164" s="47" t="s">
        <v>169</v>
      </c>
      <c r="M164" s="58" t="str">
        <f t="shared" si="11"/>
        <v>Low</v>
      </c>
      <c r="N164" s="26"/>
      <c r="O164" s="26"/>
      <c r="P164" s="26"/>
      <c r="Q164" s="26"/>
      <c r="R164" s="65"/>
      <c r="S164" s="154" t="str">
        <f t="shared" si="10"/>
        <v/>
      </c>
      <c r="U164" s="140"/>
      <c r="V164" s="141"/>
    </row>
    <row r="165" spans="1:22" ht="24">
      <c r="A165" s="272" t="s">
        <v>806</v>
      </c>
      <c r="B165" s="257" t="s">
        <v>88</v>
      </c>
      <c r="C165" s="257" t="s">
        <v>804</v>
      </c>
      <c r="D165" s="305" t="s">
        <v>801</v>
      </c>
      <c r="E165" s="115" t="s">
        <v>807</v>
      </c>
      <c r="F165" s="47" t="s">
        <v>83</v>
      </c>
      <c r="G165" s="47" t="s">
        <v>92</v>
      </c>
      <c r="H165" s="58">
        <f>IF(F165='Risk Methedology Matrix'!B$26,5,IF(F165='Risk Methedology Matrix'!B$27,4,IF(F165='Risk Methedology Matrix'!B$28,3,IF(F165='Risk Methedology Matrix'!B$29,2,IF(F165='Risk Methedology Matrix'!B$30,1,0)))))</f>
        <v>4</v>
      </c>
      <c r="I165" s="58">
        <f>IF(G165='Risk Methedology Matrix'!G$25,5,IF(G165='Risk Methedology Matrix'!F$25,4,IF(G165='Risk Methedology Matrix'!E$25,3,IF(G165='Risk Methedology Matrix'!D$25,2,IF(G165='Risk Methedology Matrix'!C$25,1,0)))))</f>
        <v>5</v>
      </c>
      <c r="J165" s="58" t="str">
        <f t="shared" si="12"/>
        <v>Very High</v>
      </c>
      <c r="K165" s="116" t="s">
        <v>853</v>
      </c>
      <c r="L165" s="47" t="s">
        <v>169</v>
      </c>
      <c r="M165" s="58" t="str">
        <f t="shared" si="11"/>
        <v>Medium</v>
      </c>
      <c r="N165" s="26"/>
      <c r="O165" s="26"/>
      <c r="P165" s="26"/>
      <c r="Q165" s="26"/>
      <c r="R165" s="65"/>
      <c r="S165" s="154" t="str">
        <f t="shared" si="10"/>
        <v/>
      </c>
      <c r="U165" s="140"/>
      <c r="V165" s="141"/>
    </row>
    <row r="166" spans="1:22" ht="87.5">
      <c r="A166" s="272" t="s">
        <v>808</v>
      </c>
      <c r="B166" s="257" t="s">
        <v>79</v>
      </c>
      <c r="C166" s="257" t="s">
        <v>809</v>
      </c>
      <c r="D166" s="305" t="s">
        <v>801</v>
      </c>
      <c r="E166" s="115" t="s">
        <v>810</v>
      </c>
      <c r="F166" s="47" t="s">
        <v>83</v>
      </c>
      <c r="G166" s="47" t="s">
        <v>104</v>
      </c>
      <c r="H166" s="58">
        <f>IF(F166='Risk Methedology Matrix'!B$26,5,IF(F166='Risk Methedology Matrix'!B$27,4,IF(F166='Risk Methedology Matrix'!B$28,3,IF(F166='Risk Methedology Matrix'!B$29,2,IF(F166='Risk Methedology Matrix'!B$30,1,0)))))</f>
        <v>4</v>
      </c>
      <c r="I166" s="58">
        <f>IF(G166='Risk Methedology Matrix'!G$25,5,IF(G166='Risk Methedology Matrix'!F$25,4,IF(G166='Risk Methedology Matrix'!E$25,3,IF(G166='Risk Methedology Matrix'!D$25,2,IF(G166='Risk Methedology Matrix'!C$25,1,0)))))</f>
        <v>3</v>
      </c>
      <c r="J166" s="58" t="str">
        <f t="shared" si="12"/>
        <v>High</v>
      </c>
      <c r="K166" s="116" t="s">
        <v>854</v>
      </c>
      <c r="L166" s="47" t="s">
        <v>169</v>
      </c>
      <c r="M166" s="58" t="str">
        <f t="shared" si="11"/>
        <v>Low</v>
      </c>
      <c r="N166" s="26"/>
      <c r="O166" s="26"/>
      <c r="P166" s="26"/>
      <c r="Q166" s="26"/>
      <c r="R166" s="65"/>
      <c r="S166" s="154" t="str">
        <f t="shared" si="10"/>
        <v/>
      </c>
      <c r="U166" s="140"/>
      <c r="V166" s="141"/>
    </row>
    <row r="167" spans="1:22" ht="24">
      <c r="A167" s="272" t="s">
        <v>811</v>
      </c>
      <c r="B167" s="257" t="s">
        <v>79</v>
      </c>
      <c r="C167" s="257" t="s">
        <v>812</v>
      </c>
      <c r="D167" s="305" t="s">
        <v>801</v>
      </c>
      <c r="E167" s="115" t="s">
        <v>813</v>
      </c>
      <c r="F167" s="47" t="s">
        <v>83</v>
      </c>
      <c r="G167" s="47" t="s">
        <v>84</v>
      </c>
      <c r="H167" s="58">
        <f>IF(F167='Risk Methedology Matrix'!B$26,5,IF(F167='Risk Methedology Matrix'!B$27,4,IF(F167='Risk Methedology Matrix'!B$28,3,IF(F167='Risk Methedology Matrix'!B$29,2,IF(F167='Risk Methedology Matrix'!B$30,1,0)))))</f>
        <v>4</v>
      </c>
      <c r="I167" s="58">
        <f>IF(G167='Risk Methedology Matrix'!G$25,5,IF(G167='Risk Methedology Matrix'!F$25,4,IF(G167='Risk Methedology Matrix'!E$25,3,IF(G167='Risk Methedology Matrix'!D$25,2,IF(G167='Risk Methedology Matrix'!C$25,1,0)))))</f>
        <v>4</v>
      </c>
      <c r="J167" s="58" t="str">
        <f t="shared" si="12"/>
        <v>High</v>
      </c>
      <c r="K167" s="116" t="s">
        <v>855</v>
      </c>
      <c r="L167" s="47" t="s">
        <v>169</v>
      </c>
      <c r="M167" s="58" t="str">
        <f t="shared" si="11"/>
        <v>Low</v>
      </c>
      <c r="N167" s="26"/>
      <c r="O167" s="26"/>
      <c r="P167" s="26"/>
      <c r="Q167" s="26"/>
      <c r="R167" s="65"/>
      <c r="S167" s="154" t="str">
        <f t="shared" si="10"/>
        <v/>
      </c>
      <c r="U167" s="140"/>
      <c r="V167" s="141"/>
    </row>
    <row r="168" spans="1:22" ht="24">
      <c r="A168" s="272" t="s">
        <v>814</v>
      </c>
      <c r="B168" s="257" t="s">
        <v>79</v>
      </c>
      <c r="C168" s="257" t="s">
        <v>815</v>
      </c>
      <c r="D168" s="305" t="s">
        <v>801</v>
      </c>
      <c r="E168" s="115" t="s">
        <v>816</v>
      </c>
      <c r="F168" s="47" t="s">
        <v>114</v>
      </c>
      <c r="G168" s="47" t="s">
        <v>104</v>
      </c>
      <c r="H168" s="58">
        <f>IF(F168='Risk Methedology Matrix'!B$26,5,IF(F168='Risk Methedology Matrix'!B$27,4,IF(F168='Risk Methedology Matrix'!B$28,3,IF(F168='Risk Methedology Matrix'!B$29,2,IF(F168='Risk Methedology Matrix'!B$30,1,0)))))</f>
        <v>3</v>
      </c>
      <c r="I168" s="58">
        <f>IF(G168='Risk Methedology Matrix'!G$25,5,IF(G168='Risk Methedology Matrix'!F$25,4,IF(G168='Risk Methedology Matrix'!E$25,3,IF(G168='Risk Methedology Matrix'!D$25,2,IF(G168='Risk Methedology Matrix'!C$25,1,0)))))</f>
        <v>3</v>
      </c>
      <c r="J168" s="58" t="str">
        <f t="shared" si="12"/>
        <v>Medium</v>
      </c>
      <c r="K168" s="116" t="s">
        <v>856</v>
      </c>
      <c r="L168" s="47" t="s">
        <v>93</v>
      </c>
      <c r="M168" s="58" t="str">
        <f t="shared" si="11"/>
        <v>Medium</v>
      </c>
      <c r="N168" s="26"/>
      <c r="O168" s="26"/>
      <c r="P168" s="26"/>
      <c r="Q168" s="26"/>
      <c r="R168" s="65"/>
      <c r="S168" s="154" t="str">
        <f t="shared" si="10"/>
        <v/>
      </c>
      <c r="U168" s="140"/>
      <c r="V168" s="141"/>
    </row>
    <row r="169" spans="1:22" ht="25">
      <c r="A169" s="272" t="s">
        <v>817</v>
      </c>
      <c r="B169" s="275" t="s">
        <v>117</v>
      </c>
      <c r="C169" s="257" t="s">
        <v>818</v>
      </c>
      <c r="D169" s="305" t="s">
        <v>801</v>
      </c>
      <c r="E169" s="115" t="s">
        <v>819</v>
      </c>
      <c r="F169" s="47" t="s">
        <v>114</v>
      </c>
      <c r="G169" s="47" t="s">
        <v>104</v>
      </c>
      <c r="H169" s="58">
        <f>IF(F169='Risk Methedology Matrix'!B$26,5,IF(F169='Risk Methedology Matrix'!B$27,4,IF(F169='Risk Methedology Matrix'!B$28,3,IF(F169='Risk Methedology Matrix'!B$29,2,IF(F169='Risk Methedology Matrix'!B$30,1,0)))))</f>
        <v>3</v>
      </c>
      <c r="I169" s="58">
        <f>IF(G169='Risk Methedology Matrix'!G$25,5,IF(G169='Risk Methedology Matrix'!F$25,4,IF(G169='Risk Methedology Matrix'!E$25,3,IF(G169='Risk Methedology Matrix'!D$25,2,IF(G169='Risk Methedology Matrix'!C$25,1,0)))))</f>
        <v>3</v>
      </c>
      <c r="J169" s="58" t="str">
        <f t="shared" si="12"/>
        <v>Medium</v>
      </c>
      <c r="K169" s="116" t="s">
        <v>857</v>
      </c>
      <c r="L169" s="47" t="s">
        <v>98</v>
      </c>
      <c r="M169" s="58" t="str">
        <f t="shared" si="11"/>
        <v>Very Low</v>
      </c>
      <c r="N169" s="26"/>
      <c r="O169" s="26"/>
      <c r="P169" s="26"/>
      <c r="Q169" s="26"/>
      <c r="R169" s="65"/>
      <c r="S169" s="154" t="str">
        <f t="shared" si="10"/>
        <v/>
      </c>
      <c r="U169" s="140"/>
      <c r="V169" s="141"/>
    </row>
    <row r="170" spans="1:22" ht="25">
      <c r="A170" s="272" t="s">
        <v>820</v>
      </c>
      <c r="B170" s="275" t="s">
        <v>117</v>
      </c>
      <c r="C170" s="257" t="s">
        <v>821</v>
      </c>
      <c r="D170" s="305" t="s">
        <v>801</v>
      </c>
      <c r="E170" s="115" t="s">
        <v>822</v>
      </c>
      <c r="F170" s="47" t="s">
        <v>126</v>
      </c>
      <c r="G170" s="47" t="s">
        <v>104</v>
      </c>
      <c r="H170" s="58">
        <f>IF(F170='Risk Methedology Matrix'!B$26,5,IF(F170='Risk Methedology Matrix'!B$27,4,IF(F170='Risk Methedology Matrix'!B$28,3,IF(F170='Risk Methedology Matrix'!B$29,2,IF(F170='Risk Methedology Matrix'!B$30,1,0)))))</f>
        <v>2</v>
      </c>
      <c r="I170" s="58">
        <f>IF(G170='Risk Methedology Matrix'!G$25,5,IF(G170='Risk Methedology Matrix'!F$25,4,IF(G170='Risk Methedology Matrix'!E$25,3,IF(G170='Risk Methedology Matrix'!D$25,2,IF(G170='Risk Methedology Matrix'!C$25,1,0)))))</f>
        <v>3</v>
      </c>
      <c r="J170" s="58" t="str">
        <f t="shared" si="12"/>
        <v>Medium</v>
      </c>
      <c r="K170" s="116" t="s">
        <v>858</v>
      </c>
      <c r="L170" s="47" t="s">
        <v>85</v>
      </c>
      <c r="M170" s="58" t="str">
        <f t="shared" si="11"/>
        <v>Low</v>
      </c>
      <c r="N170" s="26"/>
      <c r="O170" s="26"/>
      <c r="P170" s="26"/>
      <c r="Q170" s="26"/>
      <c r="R170" s="65"/>
      <c r="S170" s="154" t="str">
        <f t="shared" si="10"/>
        <v/>
      </c>
      <c r="U170" s="140"/>
      <c r="V170" s="141"/>
    </row>
    <row r="171" spans="1:22" ht="37.5">
      <c r="A171" s="272" t="s">
        <v>823</v>
      </c>
      <c r="B171" s="263" t="s">
        <v>117</v>
      </c>
      <c r="C171" s="276" t="s">
        <v>234</v>
      </c>
      <c r="D171" s="305" t="s">
        <v>801</v>
      </c>
      <c r="E171" s="115" t="s">
        <v>824</v>
      </c>
      <c r="F171" s="47" t="s">
        <v>114</v>
      </c>
      <c r="G171" s="47" t="s">
        <v>84</v>
      </c>
      <c r="H171" s="58">
        <f>IF(F171='Risk Methedology Matrix'!B$26,5,IF(F171='Risk Methedology Matrix'!B$27,4,IF(F171='Risk Methedology Matrix'!B$28,3,IF(F171='Risk Methedology Matrix'!B$29,2,IF(F171='Risk Methedology Matrix'!B$30,1,0)))))</f>
        <v>3</v>
      </c>
      <c r="I171" s="58">
        <f>IF(G171='Risk Methedology Matrix'!G$25,5,IF(G171='Risk Methedology Matrix'!F$25,4,IF(G171='Risk Methedology Matrix'!E$25,3,IF(G171='Risk Methedology Matrix'!D$25,2,IF(G171='Risk Methedology Matrix'!C$25,1,0)))))</f>
        <v>4</v>
      </c>
      <c r="J171" s="58" t="str">
        <f t="shared" si="12"/>
        <v>High</v>
      </c>
      <c r="K171" s="116" t="s">
        <v>859</v>
      </c>
      <c r="L171" s="47" t="s">
        <v>169</v>
      </c>
      <c r="M171" s="58" t="str">
        <f t="shared" si="11"/>
        <v>Low</v>
      </c>
      <c r="N171" s="26"/>
      <c r="O171" s="26"/>
      <c r="P171" s="26"/>
      <c r="Q171" s="26"/>
      <c r="R171" s="65"/>
      <c r="S171" s="154" t="str">
        <f t="shared" si="10"/>
        <v/>
      </c>
      <c r="U171" s="140"/>
      <c r="V171" s="141"/>
    </row>
    <row r="172" spans="1:22" ht="37.5">
      <c r="A172" s="272" t="s">
        <v>825</v>
      </c>
      <c r="B172" s="277" t="s">
        <v>88</v>
      </c>
      <c r="C172" s="276" t="s">
        <v>826</v>
      </c>
      <c r="D172" s="305" t="s">
        <v>801</v>
      </c>
      <c r="E172" s="115" t="s">
        <v>827</v>
      </c>
      <c r="F172" s="47" t="s">
        <v>126</v>
      </c>
      <c r="G172" s="47" t="s">
        <v>104</v>
      </c>
      <c r="H172" s="58">
        <f>IF(F172='Risk Methedology Matrix'!B$26,5,IF(F172='Risk Methedology Matrix'!B$27,4,IF(F172='Risk Methedology Matrix'!B$28,3,IF(F172='Risk Methedology Matrix'!B$29,2,IF(F172='Risk Methedology Matrix'!B$30,1,0)))))</f>
        <v>2</v>
      </c>
      <c r="I172" s="58">
        <f>IF(G172='Risk Methedology Matrix'!G$25,5,IF(G172='Risk Methedology Matrix'!F$25,4,IF(G172='Risk Methedology Matrix'!E$25,3,IF(G172='Risk Methedology Matrix'!D$25,2,IF(G172='Risk Methedology Matrix'!C$25,1,0)))))</f>
        <v>3</v>
      </c>
      <c r="J172" s="58" t="str">
        <f t="shared" si="12"/>
        <v>Medium</v>
      </c>
      <c r="K172" s="116" t="s">
        <v>860</v>
      </c>
      <c r="L172" s="47" t="s">
        <v>169</v>
      </c>
      <c r="M172" s="58" t="str">
        <f t="shared" si="11"/>
        <v>Very Low</v>
      </c>
      <c r="N172" s="26"/>
      <c r="O172" s="26"/>
      <c r="P172" s="26"/>
      <c r="Q172" s="26"/>
      <c r="R172" s="65"/>
      <c r="S172" s="154" t="str">
        <f t="shared" si="10"/>
        <v/>
      </c>
      <c r="U172" s="140"/>
      <c r="V172" s="141"/>
    </row>
    <row r="173" spans="1:22" ht="25">
      <c r="A173" s="272" t="s">
        <v>828</v>
      </c>
      <c r="B173" s="277" t="s">
        <v>88</v>
      </c>
      <c r="C173" s="257" t="s">
        <v>829</v>
      </c>
      <c r="D173" s="305" t="s">
        <v>801</v>
      </c>
      <c r="E173" s="115" t="s">
        <v>830</v>
      </c>
      <c r="F173" s="47" t="s">
        <v>83</v>
      </c>
      <c r="G173" s="47" t="s">
        <v>84</v>
      </c>
      <c r="H173" s="58">
        <f>IF(F173='Risk Methedology Matrix'!B$26,5,IF(F173='Risk Methedology Matrix'!B$27,4,IF(F173='Risk Methedology Matrix'!B$28,3,IF(F173='Risk Methedology Matrix'!B$29,2,IF(F173='Risk Methedology Matrix'!B$30,1,0)))))</f>
        <v>4</v>
      </c>
      <c r="I173" s="58">
        <f>IF(G173='Risk Methedology Matrix'!G$25,5,IF(G173='Risk Methedology Matrix'!F$25,4,IF(G173='Risk Methedology Matrix'!E$25,3,IF(G173='Risk Methedology Matrix'!D$25,2,IF(G173='Risk Methedology Matrix'!C$25,1,0)))))</f>
        <v>4</v>
      </c>
      <c r="J173" s="58" t="str">
        <f t="shared" si="12"/>
        <v>High</v>
      </c>
      <c r="K173" s="116" t="s">
        <v>861</v>
      </c>
      <c r="L173" s="47" t="s">
        <v>85</v>
      </c>
      <c r="M173" s="58" t="str">
        <f t="shared" si="11"/>
        <v>Medium</v>
      </c>
      <c r="N173" s="26"/>
      <c r="O173" s="26"/>
      <c r="P173" s="26"/>
      <c r="Q173" s="26"/>
      <c r="R173" s="65"/>
      <c r="S173" s="154" t="str">
        <f t="shared" si="10"/>
        <v/>
      </c>
      <c r="U173" s="140"/>
      <c r="V173" s="141"/>
    </row>
    <row r="174" spans="1:22" ht="24">
      <c r="A174" s="272" t="s">
        <v>831</v>
      </c>
      <c r="B174" s="277" t="s">
        <v>88</v>
      </c>
      <c r="C174" s="257" t="s">
        <v>832</v>
      </c>
      <c r="D174" s="305" t="s">
        <v>801</v>
      </c>
      <c r="E174" s="115" t="s">
        <v>833</v>
      </c>
      <c r="F174" s="47" t="s">
        <v>83</v>
      </c>
      <c r="G174" s="47" t="s">
        <v>104</v>
      </c>
      <c r="H174" s="58">
        <f>IF(F174='Risk Methedology Matrix'!B$26,5,IF(F174='Risk Methedology Matrix'!B$27,4,IF(F174='Risk Methedology Matrix'!B$28,3,IF(F174='Risk Methedology Matrix'!B$29,2,IF(F174='Risk Methedology Matrix'!B$30,1,0)))))</f>
        <v>4</v>
      </c>
      <c r="I174" s="58">
        <f>IF(G174='Risk Methedology Matrix'!G$25,5,IF(G174='Risk Methedology Matrix'!F$25,4,IF(G174='Risk Methedology Matrix'!E$25,3,IF(G174='Risk Methedology Matrix'!D$25,2,IF(G174='Risk Methedology Matrix'!C$25,1,0)))))</f>
        <v>3</v>
      </c>
      <c r="J174" s="58" t="str">
        <f t="shared" si="12"/>
        <v>High</v>
      </c>
      <c r="K174" s="116" t="s">
        <v>862</v>
      </c>
      <c r="L174" s="47" t="s">
        <v>169</v>
      </c>
      <c r="M174" s="58" t="str">
        <f t="shared" si="11"/>
        <v>Low</v>
      </c>
      <c r="N174" s="26"/>
      <c r="O174" s="26"/>
      <c r="P174" s="26"/>
      <c r="Q174" s="26"/>
      <c r="R174" s="65"/>
      <c r="S174" s="154" t="str">
        <f t="shared" si="10"/>
        <v/>
      </c>
      <c r="U174" s="140"/>
      <c r="V174" s="141"/>
    </row>
    <row r="175" spans="1:22" ht="12.5">
      <c r="A175" s="272" t="s">
        <v>834</v>
      </c>
      <c r="B175" s="277" t="s">
        <v>88</v>
      </c>
      <c r="C175" s="257" t="s">
        <v>835</v>
      </c>
      <c r="D175" s="305" t="s">
        <v>801</v>
      </c>
      <c r="E175" s="115" t="s">
        <v>836</v>
      </c>
      <c r="F175" s="47" t="s">
        <v>114</v>
      </c>
      <c r="G175" s="47" t="s">
        <v>84</v>
      </c>
      <c r="H175" s="58">
        <f>IF(F175='Risk Methedology Matrix'!B$26,5,IF(F175='Risk Methedology Matrix'!B$27,4,IF(F175='Risk Methedology Matrix'!B$28,3,IF(F175='Risk Methedology Matrix'!B$29,2,IF(F175='Risk Methedology Matrix'!B$30,1,0)))))</f>
        <v>3</v>
      </c>
      <c r="I175" s="58">
        <f>IF(G175='Risk Methedology Matrix'!G$25,5,IF(G175='Risk Methedology Matrix'!F$25,4,IF(G175='Risk Methedology Matrix'!E$25,3,IF(G175='Risk Methedology Matrix'!D$25,2,IF(G175='Risk Methedology Matrix'!C$25,1,0)))))</f>
        <v>4</v>
      </c>
      <c r="J175" s="58" t="str">
        <f t="shared" si="12"/>
        <v>High</v>
      </c>
      <c r="K175" s="116" t="s">
        <v>863</v>
      </c>
      <c r="L175" s="47" t="s">
        <v>169</v>
      </c>
      <c r="M175" s="58" t="str">
        <f t="shared" si="11"/>
        <v>Low</v>
      </c>
      <c r="N175" s="26"/>
      <c r="O175" s="26"/>
      <c r="P175" s="26"/>
      <c r="Q175" s="26"/>
      <c r="R175" s="65"/>
      <c r="S175" s="154" t="str">
        <f t="shared" si="10"/>
        <v/>
      </c>
      <c r="U175" s="140"/>
      <c r="V175" s="141"/>
    </row>
    <row r="176" spans="1:22" ht="37.5">
      <c r="A176" s="272" t="s">
        <v>837</v>
      </c>
      <c r="B176" s="277" t="s">
        <v>88</v>
      </c>
      <c r="C176" s="257" t="s">
        <v>131</v>
      </c>
      <c r="D176" s="305" t="s">
        <v>801</v>
      </c>
      <c r="E176" s="115" t="s">
        <v>838</v>
      </c>
      <c r="F176" s="47" t="s">
        <v>114</v>
      </c>
      <c r="G176" s="47" t="s">
        <v>84</v>
      </c>
      <c r="H176" s="58">
        <f>IF(F176='Risk Methedology Matrix'!B$26,5,IF(F176='Risk Methedology Matrix'!B$27,4,IF(F176='Risk Methedology Matrix'!B$28,3,IF(F176='Risk Methedology Matrix'!B$29,2,IF(F176='Risk Methedology Matrix'!B$30,1,0)))))</f>
        <v>3</v>
      </c>
      <c r="I176" s="58">
        <f>IF(G176='Risk Methedology Matrix'!G$25,5,IF(G176='Risk Methedology Matrix'!F$25,4,IF(G176='Risk Methedology Matrix'!E$25,3,IF(G176='Risk Methedology Matrix'!D$25,2,IF(G176='Risk Methedology Matrix'!C$25,1,0)))))</f>
        <v>4</v>
      </c>
      <c r="J176" s="58" t="str">
        <f t="shared" si="12"/>
        <v>High</v>
      </c>
      <c r="K176" s="116" t="s">
        <v>864</v>
      </c>
      <c r="L176" s="47" t="s">
        <v>169</v>
      </c>
      <c r="M176" s="58" t="str">
        <f t="shared" si="11"/>
        <v>Low</v>
      </c>
      <c r="N176" s="26"/>
      <c r="O176" s="26"/>
      <c r="P176" s="26"/>
      <c r="Q176" s="26"/>
      <c r="R176" s="65"/>
      <c r="S176" s="154" t="str">
        <f t="shared" si="10"/>
        <v/>
      </c>
      <c r="U176" s="140"/>
      <c r="V176" s="141"/>
    </row>
    <row r="177" spans="1:22" ht="24">
      <c r="A177" s="272" t="s">
        <v>839</v>
      </c>
      <c r="B177" s="277" t="s">
        <v>117</v>
      </c>
      <c r="C177" s="257" t="s">
        <v>840</v>
      </c>
      <c r="D177" s="305" t="s">
        <v>801</v>
      </c>
      <c r="E177" s="115" t="s">
        <v>841</v>
      </c>
      <c r="F177" s="47" t="s">
        <v>83</v>
      </c>
      <c r="G177" s="47" t="s">
        <v>104</v>
      </c>
      <c r="H177" s="58">
        <f>IF(F177='Risk Methedology Matrix'!B$26,5,IF(F177='Risk Methedology Matrix'!B$27,4,IF(F177='Risk Methedology Matrix'!B$28,3,IF(F177='Risk Methedology Matrix'!B$29,2,IF(F177='Risk Methedology Matrix'!B$30,1,0)))))</f>
        <v>4</v>
      </c>
      <c r="I177" s="58">
        <f>IF(G177='Risk Methedology Matrix'!G$25,5,IF(G177='Risk Methedology Matrix'!F$25,4,IF(G177='Risk Methedology Matrix'!E$25,3,IF(G177='Risk Methedology Matrix'!D$25,2,IF(G177='Risk Methedology Matrix'!C$25,1,0)))))</f>
        <v>3</v>
      </c>
      <c r="J177" s="58" t="str">
        <f t="shared" si="12"/>
        <v>High</v>
      </c>
      <c r="K177" s="116" t="s">
        <v>865</v>
      </c>
      <c r="L177" s="47" t="s">
        <v>169</v>
      </c>
      <c r="M177" s="58" t="str">
        <f t="shared" si="11"/>
        <v>Low</v>
      </c>
      <c r="N177" s="26"/>
      <c r="O177" s="26"/>
      <c r="P177" s="26"/>
      <c r="Q177" s="26"/>
      <c r="R177" s="65"/>
      <c r="S177" s="154" t="str">
        <f t="shared" si="10"/>
        <v/>
      </c>
      <c r="U177" s="140"/>
      <c r="V177" s="141"/>
    </row>
    <row r="178" spans="1:22" ht="12.5">
      <c r="A178" s="272" t="s">
        <v>842</v>
      </c>
      <c r="B178" s="277" t="s">
        <v>117</v>
      </c>
      <c r="C178" s="257" t="s">
        <v>843</v>
      </c>
      <c r="D178" s="305" t="s">
        <v>801</v>
      </c>
      <c r="E178" s="115" t="s">
        <v>844</v>
      </c>
      <c r="F178" s="47" t="s">
        <v>83</v>
      </c>
      <c r="G178" s="47" t="s">
        <v>104</v>
      </c>
      <c r="H178" s="58">
        <f>IF(F178='Risk Methedology Matrix'!B$26,5,IF(F178='Risk Methedology Matrix'!B$27,4,IF(F178='Risk Methedology Matrix'!B$28,3,IF(F178='Risk Methedology Matrix'!B$29,2,IF(F178='Risk Methedology Matrix'!B$30,1,0)))))</f>
        <v>4</v>
      </c>
      <c r="I178" s="58">
        <f>IF(G178='Risk Methedology Matrix'!G$25,5,IF(G178='Risk Methedology Matrix'!F$25,4,IF(G178='Risk Methedology Matrix'!E$25,3,IF(G178='Risk Methedology Matrix'!D$25,2,IF(G178='Risk Methedology Matrix'!C$25,1,0)))))</f>
        <v>3</v>
      </c>
      <c r="J178" s="58" t="str">
        <f t="shared" si="12"/>
        <v>High</v>
      </c>
      <c r="K178" s="116" t="s">
        <v>866</v>
      </c>
      <c r="L178" s="47" t="s">
        <v>169</v>
      </c>
      <c r="M178" s="58" t="str">
        <f t="shared" si="11"/>
        <v>Low</v>
      </c>
      <c r="N178" s="26"/>
      <c r="O178" s="26"/>
      <c r="P178" s="26"/>
      <c r="Q178" s="26"/>
      <c r="R178" s="65"/>
      <c r="S178" s="154" t="str">
        <f t="shared" si="10"/>
        <v/>
      </c>
      <c r="U178" s="140"/>
      <c r="V178" s="141"/>
    </row>
    <row r="179" spans="1:22" ht="25">
      <c r="A179" s="272" t="s">
        <v>845</v>
      </c>
      <c r="B179" s="277" t="s">
        <v>88</v>
      </c>
      <c r="C179" s="257" t="s">
        <v>846</v>
      </c>
      <c r="D179" s="305" t="s">
        <v>801</v>
      </c>
      <c r="E179" s="115" t="s">
        <v>847</v>
      </c>
      <c r="F179" s="47" t="s">
        <v>114</v>
      </c>
      <c r="G179" s="47" t="s">
        <v>84</v>
      </c>
      <c r="H179" s="58">
        <f>IF(F179='Risk Methedology Matrix'!B$26,5,IF(F179='Risk Methedology Matrix'!B$27,4,IF(F179='Risk Methedology Matrix'!B$28,3,IF(F179='Risk Methedology Matrix'!B$29,2,IF(F179='Risk Methedology Matrix'!B$30,1,0)))))</f>
        <v>3</v>
      </c>
      <c r="I179" s="58">
        <f>IF(G179='Risk Methedology Matrix'!G$25,5,IF(G179='Risk Methedology Matrix'!F$25,4,IF(G179='Risk Methedology Matrix'!E$25,3,IF(G179='Risk Methedology Matrix'!D$25,2,IF(G179='Risk Methedology Matrix'!C$25,1,0)))))</f>
        <v>4</v>
      </c>
      <c r="J179" s="58" t="str">
        <f t="shared" si="12"/>
        <v>High</v>
      </c>
      <c r="K179" s="116" t="s">
        <v>867</v>
      </c>
      <c r="L179" s="47" t="s">
        <v>85</v>
      </c>
      <c r="M179" s="58" t="str">
        <f t="shared" si="11"/>
        <v>Medium</v>
      </c>
      <c r="N179" s="26"/>
      <c r="O179" s="26"/>
      <c r="P179" s="26"/>
      <c r="Q179" s="26"/>
      <c r="R179" s="65"/>
      <c r="S179" s="154" t="str">
        <f t="shared" si="10"/>
        <v/>
      </c>
      <c r="U179" s="140"/>
      <c r="V179" s="141"/>
    </row>
    <row r="180" spans="1:22" ht="24">
      <c r="A180" s="272" t="s">
        <v>848</v>
      </c>
      <c r="B180" s="277" t="s">
        <v>88</v>
      </c>
      <c r="C180" s="275" t="s">
        <v>849</v>
      </c>
      <c r="D180" s="305" t="s">
        <v>801</v>
      </c>
      <c r="E180" s="315" t="s">
        <v>850</v>
      </c>
      <c r="F180" s="47" t="s">
        <v>114</v>
      </c>
      <c r="G180" s="47" t="s">
        <v>84</v>
      </c>
      <c r="H180" s="58">
        <f>IF(F180='Risk Methedology Matrix'!B$26,5,IF(F180='Risk Methedology Matrix'!B$27,4,IF(F180='Risk Methedology Matrix'!B$28,3,IF(F180='Risk Methedology Matrix'!B$29,2,IF(F180='Risk Methedology Matrix'!B$30,1,0)))))</f>
        <v>3</v>
      </c>
      <c r="I180" s="58">
        <f>IF(G180='Risk Methedology Matrix'!G$25,5,IF(G180='Risk Methedology Matrix'!F$25,4,IF(G180='Risk Methedology Matrix'!E$25,3,IF(G180='Risk Methedology Matrix'!D$25,2,IF(G180='Risk Methedology Matrix'!C$25,1,0)))))</f>
        <v>4</v>
      </c>
      <c r="J180" s="58" t="str">
        <f t="shared" si="12"/>
        <v>High</v>
      </c>
      <c r="K180" s="127" t="s">
        <v>868</v>
      </c>
      <c r="L180" s="103" t="s">
        <v>169</v>
      </c>
      <c r="M180" s="58" t="str">
        <f t="shared" si="11"/>
        <v>Low</v>
      </c>
      <c r="N180" s="128"/>
      <c r="O180" s="128"/>
      <c r="P180" s="128"/>
      <c r="Q180" s="128"/>
      <c r="R180" s="65"/>
      <c r="S180" s="154" t="str">
        <f t="shared" si="10"/>
        <v/>
      </c>
      <c r="U180" s="140"/>
      <c r="V180" s="141"/>
    </row>
    <row r="181" spans="1:22" ht="162.5">
      <c r="A181" s="255" t="s">
        <v>1553</v>
      </c>
      <c r="B181" s="318" t="s">
        <v>88</v>
      </c>
      <c r="C181" s="320" t="s">
        <v>1554</v>
      </c>
      <c r="D181" s="319" t="s">
        <v>801</v>
      </c>
      <c r="E181" s="49" t="s">
        <v>1555</v>
      </c>
      <c r="F181" s="47" t="s">
        <v>114</v>
      </c>
      <c r="G181" s="47" t="s">
        <v>84</v>
      </c>
      <c r="H181" s="58">
        <f>IF(F181='Risk Methedology Matrix'!B$26,5,IF(F181='Risk Methedology Matrix'!B$27,4,IF(F181='Risk Methedology Matrix'!B$28,3,IF(F181='Risk Methedology Matrix'!B$29,2,IF(F181='Risk Methedology Matrix'!B$30,1,0)))))</f>
        <v>3</v>
      </c>
      <c r="I181" s="58">
        <f>IF(G181='Risk Methedology Matrix'!G$25,5,IF(G181='Risk Methedology Matrix'!F$25,4,IF(G181='Risk Methedology Matrix'!E$25,3,IF(G181='Risk Methedology Matrix'!D$25,2,IF(G181='Risk Methedology Matrix'!C$25,1,0)))))</f>
        <v>4</v>
      </c>
      <c r="J181" s="58" t="str">
        <f t="shared" si="12"/>
        <v>High</v>
      </c>
      <c r="K181" s="253" t="s">
        <v>1552</v>
      </c>
      <c r="L181" s="103" t="s">
        <v>169</v>
      </c>
      <c r="M181" s="58" t="str">
        <f t="shared" si="11"/>
        <v>Low</v>
      </c>
      <c r="N181" s="128"/>
      <c r="O181" s="128"/>
      <c r="P181" s="128"/>
      <c r="Q181" s="128"/>
      <c r="R181" s="65"/>
      <c r="S181" s="154"/>
      <c r="U181" s="140"/>
      <c r="V181" s="141"/>
    </row>
    <row r="182" spans="1:22" ht="75">
      <c r="A182" s="255" t="s">
        <v>1556</v>
      </c>
      <c r="B182" s="318" t="s">
        <v>88</v>
      </c>
      <c r="C182" s="320" t="s">
        <v>1557</v>
      </c>
      <c r="D182" s="319" t="s">
        <v>801</v>
      </c>
      <c r="E182" s="49" t="s">
        <v>1774</v>
      </c>
      <c r="F182" s="47" t="s">
        <v>83</v>
      </c>
      <c r="G182" s="47" t="s">
        <v>160</v>
      </c>
      <c r="H182" s="58">
        <f>IF(F182='Risk Methedology Matrix'!B$26,5,IF(F182='Risk Methedology Matrix'!B$27,4,IF(F182='Risk Methedology Matrix'!B$28,3,IF(F182='Risk Methedology Matrix'!B$29,2,IF(F182='Risk Methedology Matrix'!B$30,1,0)))))</f>
        <v>4</v>
      </c>
      <c r="I182" s="58">
        <f>IF(G182='Risk Methedology Matrix'!G$25,5,IF(G182='Risk Methedology Matrix'!F$25,4,IF(G182='Risk Methedology Matrix'!E$25,3,IF(G182='Risk Methedology Matrix'!D$25,2,IF(G182='Risk Methedology Matrix'!C$25,1,0)))))</f>
        <v>1</v>
      </c>
      <c r="J182" s="58" t="str">
        <f t="shared" ref="J182" si="13">IF(OR(F182="",G182=""),"",IF(H182*I182&gt;=20,"Very High",IF(AND(H182*I182&lt;20,H182*I182&gt;=11),"High",IF(AND(H182*I182&lt;11,H182*I182&gt;=6),"Medium",IF(AND(H182*I182&lt;6,H182*I182&gt;=3),"Low",IF(AND(H182*I182&lt;3,H182*I182&gt;=1),"Very Low",""))))))</f>
        <v>Low</v>
      </c>
      <c r="K182" s="253" t="s">
        <v>1558</v>
      </c>
      <c r="L182" s="103" t="s">
        <v>169</v>
      </c>
      <c r="M182" s="58" t="str">
        <f t="shared" si="11"/>
        <v>Very Low</v>
      </c>
      <c r="N182" s="128"/>
      <c r="O182" s="128"/>
      <c r="P182" s="128"/>
      <c r="Q182" s="128"/>
      <c r="R182" s="65"/>
      <c r="S182" s="154"/>
      <c r="U182" s="140"/>
      <c r="V182" s="141"/>
    </row>
    <row r="183" spans="1:22" ht="162.5">
      <c r="A183" s="255" t="s">
        <v>1559</v>
      </c>
      <c r="B183" s="318" t="s">
        <v>88</v>
      </c>
      <c r="C183" s="320" t="s">
        <v>1560</v>
      </c>
      <c r="D183" s="319" t="s">
        <v>801</v>
      </c>
      <c r="E183" s="105" t="s">
        <v>1561</v>
      </c>
      <c r="F183" s="47" t="s">
        <v>114</v>
      </c>
      <c r="G183" s="47" t="s">
        <v>84</v>
      </c>
      <c r="H183" s="58">
        <f>IF(F183='Risk Methedology Matrix'!B$26,5,IF(F183='Risk Methedology Matrix'!B$27,4,IF(F183='Risk Methedology Matrix'!B$28,3,IF(F183='Risk Methedology Matrix'!B$29,2,IF(F183='Risk Methedology Matrix'!B$30,1,0)))))</f>
        <v>3</v>
      </c>
      <c r="I183" s="58">
        <f>IF(G183='Risk Methedology Matrix'!G$25,5,IF(G183='Risk Methedology Matrix'!F$25,4,IF(G183='Risk Methedology Matrix'!E$25,3,IF(G183='Risk Methedology Matrix'!D$25,2,IF(G183='Risk Methedology Matrix'!C$25,1,0)))))</f>
        <v>4</v>
      </c>
      <c r="J183" s="58" t="str">
        <f t="shared" ref="J183:J194" si="14">IF(OR(F183="",G183=""),"",IF(H183*I183&gt;=20,"Very High",IF(AND(H183*I183&lt;20,H183*I183&gt;=11),"High",IF(AND(H183*I183&lt;11,H183*I183&gt;=6),"Medium",IF(AND(H183*I183&lt;6,H183*I183&gt;=3),"Low",IF(AND(H183*I183&lt;3,H183*I183&gt;=1),"Very Low",""))))))</f>
        <v>High</v>
      </c>
      <c r="K183" s="253" t="s">
        <v>1602</v>
      </c>
      <c r="L183" s="103" t="s">
        <v>169</v>
      </c>
      <c r="M183" s="58" t="str">
        <f t="shared" si="11"/>
        <v>Low</v>
      </c>
      <c r="N183" s="128"/>
      <c r="O183" s="128"/>
      <c r="P183" s="128"/>
      <c r="Q183" s="128"/>
      <c r="R183" s="65"/>
      <c r="S183" s="154"/>
      <c r="U183" s="140"/>
      <c r="V183" s="141"/>
    </row>
    <row r="184" spans="1:22" ht="237.5">
      <c r="A184" s="255" t="s">
        <v>1562</v>
      </c>
      <c r="B184" s="318" t="s">
        <v>88</v>
      </c>
      <c r="C184" s="320" t="s">
        <v>1565</v>
      </c>
      <c r="D184" s="319" t="s">
        <v>801</v>
      </c>
      <c r="E184" s="49" t="s">
        <v>1564</v>
      </c>
      <c r="F184" s="47" t="s">
        <v>83</v>
      </c>
      <c r="G184" s="47" t="s">
        <v>84</v>
      </c>
      <c r="H184" s="58">
        <f>IF(F184='Risk Methedology Matrix'!B$26,5,IF(F184='Risk Methedology Matrix'!B$27,4,IF(F184='Risk Methedology Matrix'!B$28,3,IF(F184='Risk Methedology Matrix'!B$29,2,IF(F184='Risk Methedology Matrix'!B$30,1,0)))))</f>
        <v>4</v>
      </c>
      <c r="I184" s="58">
        <f>IF(G184='Risk Methedology Matrix'!G$25,5,IF(G184='Risk Methedology Matrix'!F$25,4,IF(G184='Risk Methedology Matrix'!E$25,3,IF(G184='Risk Methedology Matrix'!D$25,2,IF(G184='Risk Methedology Matrix'!C$25,1,0)))))</f>
        <v>4</v>
      </c>
      <c r="J184" s="58" t="str">
        <f t="shared" si="14"/>
        <v>High</v>
      </c>
      <c r="K184" s="253" t="s">
        <v>1603</v>
      </c>
      <c r="L184" s="103" t="s">
        <v>169</v>
      </c>
      <c r="M184" s="58" t="str">
        <f t="shared" si="11"/>
        <v>Low</v>
      </c>
      <c r="N184" s="128"/>
      <c r="O184" s="128"/>
      <c r="P184" s="128"/>
      <c r="Q184" s="128"/>
      <c r="R184" s="65"/>
      <c r="S184" s="154"/>
      <c r="U184" s="140"/>
      <c r="V184" s="141"/>
    </row>
    <row r="185" spans="1:22" ht="200">
      <c r="A185" s="255" t="s">
        <v>1566</v>
      </c>
      <c r="B185" s="318" t="s">
        <v>117</v>
      </c>
      <c r="C185" s="320" t="s">
        <v>1563</v>
      </c>
      <c r="D185" s="319" t="s">
        <v>801</v>
      </c>
      <c r="E185" s="49" t="s">
        <v>1567</v>
      </c>
      <c r="F185" s="47" t="s">
        <v>114</v>
      </c>
      <c r="G185" s="47" t="s">
        <v>84</v>
      </c>
      <c r="H185" s="58">
        <f>IF(F185='Risk Methedology Matrix'!B$26,5,IF(F185='Risk Methedology Matrix'!B$27,4,IF(F185='Risk Methedology Matrix'!B$28,3,IF(F185='Risk Methedology Matrix'!B$29,2,IF(F185='Risk Methedology Matrix'!B$30,1,0)))))</f>
        <v>3</v>
      </c>
      <c r="I185" s="58">
        <f>IF(G185='Risk Methedology Matrix'!G$25,5,IF(G185='Risk Methedology Matrix'!F$25,4,IF(G185='Risk Methedology Matrix'!E$25,3,IF(G185='Risk Methedology Matrix'!D$25,2,IF(G185='Risk Methedology Matrix'!C$25,1,0)))))</f>
        <v>4</v>
      </c>
      <c r="J185" s="58" t="str">
        <f t="shared" si="14"/>
        <v>High</v>
      </c>
      <c r="K185" s="253" t="s">
        <v>1604</v>
      </c>
      <c r="L185" s="103" t="s">
        <v>169</v>
      </c>
      <c r="M185" s="58" t="str">
        <f t="shared" si="11"/>
        <v>Low</v>
      </c>
      <c r="N185" s="128"/>
      <c r="O185" s="128"/>
      <c r="P185" s="128"/>
      <c r="Q185" s="128"/>
      <c r="R185" s="65"/>
      <c r="S185" s="154"/>
      <c r="U185" s="140"/>
      <c r="V185" s="141"/>
    </row>
    <row r="186" spans="1:22" ht="225">
      <c r="A186" s="255" t="s">
        <v>1568</v>
      </c>
      <c r="B186" s="318" t="s">
        <v>88</v>
      </c>
      <c r="C186" s="320" t="s">
        <v>1579</v>
      </c>
      <c r="D186" s="319" t="s">
        <v>801</v>
      </c>
      <c r="E186" s="49" t="s">
        <v>1580</v>
      </c>
      <c r="F186" s="47" t="s">
        <v>114</v>
      </c>
      <c r="G186" s="47" t="s">
        <v>92</v>
      </c>
      <c r="H186" s="58">
        <f>IF(F186='Risk Methedology Matrix'!B$26,5,IF(F186='Risk Methedology Matrix'!B$27,4,IF(F186='Risk Methedology Matrix'!B$28,3,IF(F186='Risk Methedology Matrix'!B$29,2,IF(F186='Risk Methedology Matrix'!B$30,1,0)))))</f>
        <v>3</v>
      </c>
      <c r="I186" s="58">
        <f>IF(G186='Risk Methedology Matrix'!G$25,5,IF(G186='Risk Methedology Matrix'!F$25,4,IF(G186='Risk Methedology Matrix'!E$25,3,IF(G186='Risk Methedology Matrix'!D$25,2,IF(G186='Risk Methedology Matrix'!C$25,1,0)))))</f>
        <v>5</v>
      </c>
      <c r="J186" s="58" t="str">
        <f t="shared" si="14"/>
        <v>High</v>
      </c>
      <c r="K186" s="253" t="s">
        <v>1605</v>
      </c>
      <c r="L186" s="103" t="s">
        <v>169</v>
      </c>
      <c r="M186" s="58" t="str">
        <f t="shared" si="11"/>
        <v>Low</v>
      </c>
      <c r="N186" s="128"/>
      <c r="O186" s="128"/>
      <c r="P186" s="128"/>
      <c r="Q186" s="128"/>
      <c r="R186" s="65"/>
      <c r="S186" s="154"/>
      <c r="U186" s="140"/>
      <c r="V186" s="141"/>
    </row>
    <row r="187" spans="1:22" ht="150">
      <c r="A187" s="255" t="s">
        <v>1569</v>
      </c>
      <c r="B187" s="318" t="s">
        <v>88</v>
      </c>
      <c r="C187" s="320" t="s">
        <v>1581</v>
      </c>
      <c r="D187" s="319" t="s">
        <v>801</v>
      </c>
      <c r="E187" s="49" t="s">
        <v>1582</v>
      </c>
      <c r="F187" s="47" t="s">
        <v>114</v>
      </c>
      <c r="G187" s="47" t="s">
        <v>104</v>
      </c>
      <c r="H187" s="58">
        <f>IF(F187='Risk Methedology Matrix'!B$26,5,IF(F187='Risk Methedology Matrix'!B$27,4,IF(F187='Risk Methedology Matrix'!B$28,3,IF(F187='Risk Methedology Matrix'!B$29,2,IF(F187='Risk Methedology Matrix'!B$30,1,0)))))</f>
        <v>3</v>
      </c>
      <c r="I187" s="58">
        <f>IF(G187='Risk Methedology Matrix'!G$25,5,IF(G187='Risk Methedology Matrix'!F$25,4,IF(G187='Risk Methedology Matrix'!E$25,3,IF(G187='Risk Methedology Matrix'!D$25,2,IF(G187='Risk Methedology Matrix'!C$25,1,0)))))</f>
        <v>3</v>
      </c>
      <c r="J187" s="58" t="str">
        <f t="shared" si="14"/>
        <v>Medium</v>
      </c>
      <c r="K187" s="253" t="s">
        <v>1606</v>
      </c>
      <c r="L187" s="103" t="s">
        <v>169</v>
      </c>
      <c r="M187" s="58" t="str">
        <f t="shared" si="11"/>
        <v>Very Low</v>
      </c>
      <c r="N187" s="128"/>
      <c r="O187" s="128"/>
      <c r="P187" s="128"/>
      <c r="Q187" s="128"/>
      <c r="R187" s="65"/>
      <c r="S187" s="154"/>
      <c r="U187" s="140"/>
      <c r="V187" s="141"/>
    </row>
    <row r="188" spans="1:22" ht="212.5">
      <c r="A188" s="255" t="s">
        <v>1570</v>
      </c>
      <c r="B188" s="318" t="s">
        <v>88</v>
      </c>
      <c r="C188" s="320" t="s">
        <v>1583</v>
      </c>
      <c r="D188" s="319" t="s">
        <v>801</v>
      </c>
      <c r="E188" s="49" t="s">
        <v>1584</v>
      </c>
      <c r="F188" s="47" t="s">
        <v>114</v>
      </c>
      <c r="G188" s="47" t="s">
        <v>84</v>
      </c>
      <c r="H188" s="58">
        <f>IF(F188='Risk Methedology Matrix'!B$26,5,IF(F188='Risk Methedology Matrix'!B$27,4,IF(F188='Risk Methedology Matrix'!B$28,3,IF(F188='Risk Methedology Matrix'!B$29,2,IF(F188='Risk Methedology Matrix'!B$30,1,0)))))</f>
        <v>3</v>
      </c>
      <c r="I188" s="58">
        <f>IF(G188='Risk Methedology Matrix'!G$25,5,IF(G188='Risk Methedology Matrix'!F$25,4,IF(G188='Risk Methedology Matrix'!E$25,3,IF(G188='Risk Methedology Matrix'!D$25,2,IF(G188='Risk Methedology Matrix'!C$25,1,0)))))</f>
        <v>4</v>
      </c>
      <c r="J188" s="58" t="str">
        <f t="shared" si="14"/>
        <v>High</v>
      </c>
      <c r="K188" s="253" t="s">
        <v>1607</v>
      </c>
      <c r="L188" s="103" t="s">
        <v>169</v>
      </c>
      <c r="M188" s="58" t="str">
        <f t="shared" si="11"/>
        <v>Low</v>
      </c>
      <c r="N188" s="128"/>
      <c r="O188" s="128"/>
      <c r="P188" s="128"/>
      <c r="Q188" s="128"/>
      <c r="R188" s="65"/>
      <c r="S188" s="154"/>
      <c r="U188" s="140"/>
      <c r="V188" s="141"/>
    </row>
    <row r="189" spans="1:22" ht="212.5">
      <c r="A189" s="255" t="s">
        <v>1571</v>
      </c>
      <c r="B189" s="318" t="s">
        <v>88</v>
      </c>
      <c r="C189" s="320" t="s">
        <v>1585</v>
      </c>
      <c r="D189" s="319" t="s">
        <v>801</v>
      </c>
      <c r="E189" s="49" t="s">
        <v>1586</v>
      </c>
      <c r="F189" s="47" t="s">
        <v>83</v>
      </c>
      <c r="G189" s="47" t="s">
        <v>104</v>
      </c>
      <c r="H189" s="58">
        <f>IF(F189='Risk Methedology Matrix'!B$26,5,IF(F189='Risk Methedology Matrix'!B$27,4,IF(F189='Risk Methedology Matrix'!B$28,3,IF(F189='Risk Methedology Matrix'!B$29,2,IF(F189='Risk Methedology Matrix'!B$30,1,0)))))</f>
        <v>4</v>
      </c>
      <c r="I189" s="58">
        <f>IF(G189='Risk Methedology Matrix'!G$25,5,IF(G189='Risk Methedology Matrix'!F$25,4,IF(G189='Risk Methedology Matrix'!E$25,3,IF(G189='Risk Methedology Matrix'!D$25,2,IF(G189='Risk Methedology Matrix'!C$25,1,0)))))</f>
        <v>3</v>
      </c>
      <c r="J189" s="58" t="str">
        <f t="shared" si="14"/>
        <v>High</v>
      </c>
      <c r="K189" s="253" t="s">
        <v>1608</v>
      </c>
      <c r="L189" s="103" t="s">
        <v>169</v>
      </c>
      <c r="M189" s="58" t="str">
        <f t="shared" si="11"/>
        <v>Low</v>
      </c>
      <c r="N189" s="128"/>
      <c r="O189" s="128"/>
      <c r="P189" s="128"/>
      <c r="Q189" s="128"/>
      <c r="R189" s="65"/>
      <c r="S189" s="154"/>
      <c r="U189" s="140"/>
      <c r="V189" s="141"/>
    </row>
    <row r="190" spans="1:22" ht="212.5">
      <c r="A190" s="255" t="s">
        <v>1572</v>
      </c>
      <c r="B190" s="318" t="s">
        <v>88</v>
      </c>
      <c r="C190" s="320" t="s">
        <v>1587</v>
      </c>
      <c r="D190" s="319" t="s">
        <v>801</v>
      </c>
      <c r="E190" s="49" t="s">
        <v>1588</v>
      </c>
      <c r="F190" s="47" t="s">
        <v>83</v>
      </c>
      <c r="G190" s="47" t="s">
        <v>84</v>
      </c>
      <c r="H190" s="58">
        <f>IF(F190='Risk Methedology Matrix'!B$26,5,IF(F190='Risk Methedology Matrix'!B$27,4,IF(F190='Risk Methedology Matrix'!B$28,3,IF(F190='Risk Methedology Matrix'!B$29,2,IF(F190='Risk Methedology Matrix'!B$30,1,0)))))</f>
        <v>4</v>
      </c>
      <c r="I190" s="58">
        <f>IF(G190='Risk Methedology Matrix'!G$25,5,IF(G190='Risk Methedology Matrix'!F$25,4,IF(G190='Risk Methedology Matrix'!E$25,3,IF(G190='Risk Methedology Matrix'!D$25,2,IF(G190='Risk Methedology Matrix'!C$25,1,0)))))</f>
        <v>4</v>
      </c>
      <c r="J190" s="58" t="str">
        <f>IF(OR(F190="",G190=""),"",IF(H190*I190&gt;=20,"Very High",IF(AND(H190*I190&lt;20,H190*I190&gt;=11),"High",IF(AND(H190*I190&lt;11,H190*I190&gt;=6),"Medium",IF(AND(H190*I190&lt;6,H190*I190&gt;=3),"Low",IF(AND(H190*I190&lt;3,H190*I190&gt;=1),"Very Low",""))))))</f>
        <v>High</v>
      </c>
      <c r="K190" s="253" t="s">
        <v>1609</v>
      </c>
      <c r="L190" s="103" t="s">
        <v>169</v>
      </c>
      <c r="M190" s="58" t="str">
        <f t="shared" si="11"/>
        <v>Low</v>
      </c>
      <c r="N190" s="128"/>
      <c r="O190" s="128"/>
      <c r="P190" s="128"/>
      <c r="Q190" s="128"/>
      <c r="R190" s="65"/>
      <c r="S190" s="154"/>
      <c r="U190" s="140"/>
      <c r="V190" s="141"/>
    </row>
    <row r="191" spans="1:22" ht="250">
      <c r="A191" s="255" t="s">
        <v>1573</v>
      </c>
      <c r="B191" s="318" t="s">
        <v>88</v>
      </c>
      <c r="C191" s="263" t="s">
        <v>1589</v>
      </c>
      <c r="D191" s="319" t="s">
        <v>801</v>
      </c>
      <c r="E191" s="49" t="s">
        <v>1590</v>
      </c>
      <c r="F191" s="47" t="s">
        <v>83</v>
      </c>
      <c r="G191" s="47" t="s">
        <v>104</v>
      </c>
      <c r="H191" s="58">
        <f>IF(F191='Risk Methedology Matrix'!B$26,5,IF(F191='Risk Methedology Matrix'!B$27,4,IF(F191='Risk Methedology Matrix'!B$28,3,IF(F191='Risk Methedology Matrix'!B$29,2,IF(F191='Risk Methedology Matrix'!B$30,1,0)))))</f>
        <v>4</v>
      </c>
      <c r="I191" s="58">
        <f>IF(G191='Risk Methedology Matrix'!G$25,5,IF(G191='Risk Methedology Matrix'!F$25,4,IF(G191='Risk Methedology Matrix'!E$25,3,IF(G191='Risk Methedology Matrix'!D$25,2,IF(G191='Risk Methedology Matrix'!C$25,1,0)))))</f>
        <v>3</v>
      </c>
      <c r="J191" s="58" t="str">
        <f t="shared" si="14"/>
        <v>High</v>
      </c>
      <c r="K191" s="253" t="s">
        <v>1610</v>
      </c>
      <c r="L191" s="103" t="s">
        <v>169</v>
      </c>
      <c r="M191" s="58" t="str">
        <f t="shared" si="11"/>
        <v>Low</v>
      </c>
      <c r="N191" s="128"/>
      <c r="O191" s="128"/>
      <c r="P191" s="128"/>
      <c r="Q191" s="128"/>
      <c r="R191" s="65"/>
      <c r="S191" s="154"/>
      <c r="U191" s="140"/>
      <c r="V191" s="141"/>
    </row>
    <row r="192" spans="1:22" ht="275">
      <c r="A192" s="255" t="s">
        <v>1574</v>
      </c>
      <c r="B192" s="318" t="s">
        <v>88</v>
      </c>
      <c r="C192" s="320" t="s">
        <v>1591</v>
      </c>
      <c r="D192" s="319" t="s">
        <v>801</v>
      </c>
      <c r="E192" s="49" t="s">
        <v>1592</v>
      </c>
      <c r="F192" s="47" t="s">
        <v>114</v>
      </c>
      <c r="G192" s="47" t="s">
        <v>84</v>
      </c>
      <c r="H192" s="58">
        <f>IF(F192='Risk Methedology Matrix'!B$26,5,IF(F192='Risk Methedology Matrix'!B$27,4,IF(F192='Risk Methedology Matrix'!B$28,3,IF(F192='Risk Methedology Matrix'!B$29,2,IF(F192='Risk Methedology Matrix'!B$30,1,0)))))</f>
        <v>3</v>
      </c>
      <c r="I192" s="58">
        <f>IF(G192='Risk Methedology Matrix'!G$25,5,IF(G192='Risk Methedology Matrix'!F$25,4,IF(G192='Risk Methedology Matrix'!E$25,3,IF(G192='Risk Methedology Matrix'!D$25,2,IF(G192='Risk Methedology Matrix'!C$25,1,0)))))</f>
        <v>4</v>
      </c>
      <c r="J192" s="58" t="str">
        <f t="shared" si="14"/>
        <v>High</v>
      </c>
      <c r="K192" s="253" t="s">
        <v>1611</v>
      </c>
      <c r="L192" s="103" t="s">
        <v>169</v>
      </c>
      <c r="M192" s="58" t="str">
        <f t="shared" si="11"/>
        <v>Low</v>
      </c>
      <c r="N192" s="128"/>
      <c r="O192" s="128"/>
      <c r="P192" s="128"/>
      <c r="Q192" s="128"/>
      <c r="R192" s="65"/>
      <c r="S192" s="154"/>
      <c r="U192" s="140"/>
      <c r="V192" s="141"/>
    </row>
    <row r="193" spans="1:22" ht="150">
      <c r="A193" s="255" t="s">
        <v>1575</v>
      </c>
      <c r="B193" s="318" t="s">
        <v>88</v>
      </c>
      <c r="C193" s="320" t="s">
        <v>1593</v>
      </c>
      <c r="D193" s="319" t="s">
        <v>801</v>
      </c>
      <c r="E193" s="105" t="s">
        <v>1594</v>
      </c>
      <c r="F193" s="47" t="s">
        <v>114</v>
      </c>
      <c r="G193" s="47" t="s">
        <v>84</v>
      </c>
      <c r="H193" s="58">
        <f>IF(F193='Risk Methedology Matrix'!B$26,5,IF(F193='Risk Methedology Matrix'!B$27,4,IF(F193='Risk Methedology Matrix'!B$28,3,IF(F193='Risk Methedology Matrix'!B$29,2,IF(F193='Risk Methedology Matrix'!B$30,1,0)))))</f>
        <v>3</v>
      </c>
      <c r="I193" s="58">
        <f>IF(G193='Risk Methedology Matrix'!G$25,5,IF(G193='Risk Methedology Matrix'!F$25,4,IF(G193='Risk Methedology Matrix'!E$25,3,IF(G193='Risk Methedology Matrix'!D$25,2,IF(G193='Risk Methedology Matrix'!C$25,1,0)))))</f>
        <v>4</v>
      </c>
      <c r="J193" s="58" t="str">
        <f t="shared" si="14"/>
        <v>High</v>
      </c>
      <c r="K193" s="253" t="s">
        <v>1612</v>
      </c>
      <c r="L193" s="103" t="s">
        <v>169</v>
      </c>
      <c r="M193" s="58" t="str">
        <f t="shared" si="11"/>
        <v>Low</v>
      </c>
      <c r="N193" s="128"/>
      <c r="O193" s="128"/>
      <c r="P193" s="128"/>
      <c r="Q193" s="128"/>
      <c r="R193" s="65"/>
      <c r="S193" s="154"/>
      <c r="U193" s="140"/>
      <c r="V193" s="141"/>
    </row>
    <row r="194" spans="1:22" ht="175">
      <c r="A194" s="255" t="s">
        <v>1576</v>
      </c>
      <c r="B194" s="318" t="s">
        <v>1595</v>
      </c>
      <c r="C194" s="263" t="s">
        <v>1596</v>
      </c>
      <c r="D194" s="319" t="s">
        <v>801</v>
      </c>
      <c r="E194" s="105" t="s">
        <v>1597</v>
      </c>
      <c r="F194" s="47" t="s">
        <v>114</v>
      </c>
      <c r="G194" s="47" t="s">
        <v>104</v>
      </c>
      <c r="H194" s="58">
        <f>IF(F194='Risk Methedology Matrix'!B$26,5,IF(F194='Risk Methedology Matrix'!B$27,4,IF(F194='Risk Methedology Matrix'!B$28,3,IF(F194='Risk Methedology Matrix'!B$29,2,IF(F194='Risk Methedology Matrix'!B$30,1,0)))))</f>
        <v>3</v>
      </c>
      <c r="I194" s="58">
        <f>IF(G194='Risk Methedology Matrix'!G$25,5,IF(G194='Risk Methedology Matrix'!F$25,4,IF(G194='Risk Methedology Matrix'!E$25,3,IF(G194='Risk Methedology Matrix'!D$25,2,IF(G194='Risk Methedology Matrix'!C$25,1,0)))))</f>
        <v>3</v>
      </c>
      <c r="J194" s="58" t="str">
        <f t="shared" si="14"/>
        <v>Medium</v>
      </c>
      <c r="K194" s="253" t="s">
        <v>1613</v>
      </c>
      <c r="L194" s="103" t="s">
        <v>169</v>
      </c>
      <c r="M194" s="58" t="str">
        <f t="shared" si="11"/>
        <v>Very Low</v>
      </c>
      <c r="N194" s="128"/>
      <c r="O194" s="128"/>
      <c r="P194" s="128"/>
      <c r="Q194" s="128"/>
      <c r="R194" s="65"/>
      <c r="S194" s="154"/>
      <c r="U194" s="140"/>
      <c r="V194" s="141"/>
    </row>
    <row r="195" spans="1:22" ht="172.5" customHeight="1">
      <c r="A195" s="255" t="s">
        <v>1577</v>
      </c>
      <c r="B195" s="318" t="s">
        <v>88</v>
      </c>
      <c r="C195" s="320" t="s">
        <v>1598</v>
      </c>
      <c r="D195" s="319" t="s">
        <v>801</v>
      </c>
      <c r="E195" s="49" t="s">
        <v>1599</v>
      </c>
      <c r="F195" s="47" t="s">
        <v>114</v>
      </c>
      <c r="G195" s="47" t="s">
        <v>104</v>
      </c>
      <c r="H195" s="58">
        <f>IF(F195='Risk Methedology Matrix'!B$26,5,IF(F195='Risk Methedology Matrix'!B$27,4,IF(F195='Risk Methedology Matrix'!B$28,3,IF(F195='Risk Methedology Matrix'!B$29,2,IF(F195='Risk Methedology Matrix'!B$30,1,0)))))</f>
        <v>3</v>
      </c>
      <c r="I195" s="58">
        <f>IF(G195='Risk Methedology Matrix'!G$25,5,IF(G195='Risk Methedology Matrix'!F$25,4,IF(G195='Risk Methedology Matrix'!E$25,3,IF(G195='Risk Methedology Matrix'!D$25,2,IF(G195='Risk Methedology Matrix'!C$25,1,0)))))</f>
        <v>3</v>
      </c>
      <c r="J195" s="321" t="str">
        <f t="shared" ref="J195" si="15">IF(OR(F195="",G195=""),"",IF(H195*I195&gt;=20,"Very High",IF(AND(H195*I195&lt;20,H195*I195&gt;=11),"High",IF(AND(H195*I195&lt;11,H195*I195&gt;=6),"Medium",IF(AND(H195*I195&lt;6,H195*I195&gt;=3),"Low",IF(AND(H195*I195&lt;3,H195*I195&gt;=1),"Very Low",""))))))</f>
        <v>Medium</v>
      </c>
      <c r="K195" s="323" t="s">
        <v>1614</v>
      </c>
      <c r="L195" s="322" t="s">
        <v>169</v>
      </c>
      <c r="M195" s="58" t="str">
        <f t="shared" si="11"/>
        <v>Very Low</v>
      </c>
      <c r="N195" s="128"/>
      <c r="O195" s="128"/>
      <c r="P195" s="128"/>
      <c r="Q195" s="128"/>
      <c r="R195" s="65"/>
      <c r="S195" s="154"/>
      <c r="U195" s="140"/>
      <c r="V195" s="141"/>
    </row>
    <row r="196" spans="1:22" ht="237.5">
      <c r="A196" s="255" t="s">
        <v>1578</v>
      </c>
      <c r="B196" s="318" t="s">
        <v>88</v>
      </c>
      <c r="C196" s="320" t="s">
        <v>1600</v>
      </c>
      <c r="D196" s="319" t="s">
        <v>801</v>
      </c>
      <c r="E196" s="105" t="s">
        <v>1601</v>
      </c>
      <c r="F196" s="47" t="s">
        <v>114</v>
      </c>
      <c r="G196" s="47" t="s">
        <v>104</v>
      </c>
      <c r="H196" s="58">
        <f>IF(F196='Risk Methedology Matrix'!B$26,5,IF(F196='Risk Methedology Matrix'!B$27,4,IF(F196='Risk Methedology Matrix'!B$28,3,IF(F196='Risk Methedology Matrix'!B$29,2,IF(F196='Risk Methedology Matrix'!B$30,1,0)))))</f>
        <v>3</v>
      </c>
      <c r="I196" s="58">
        <f>IF(G196='Risk Methedology Matrix'!G$25,5,IF(G196='Risk Methedology Matrix'!F$25,4,IF(G196='Risk Methedology Matrix'!E$25,3,IF(G196='Risk Methedology Matrix'!D$25,2,IF(G196='Risk Methedology Matrix'!C$25,1,0)))))</f>
        <v>3</v>
      </c>
      <c r="J196" s="321" t="str">
        <f t="shared" ref="J196" si="16">IF(OR(F196="",G196=""),"",IF(H196*I196&gt;=20,"Very High",IF(AND(H196*I196&lt;20,H196*I196&gt;=11),"High",IF(AND(H196*I196&lt;11,H196*I196&gt;=6),"Medium",IF(AND(H196*I196&lt;6,H196*I196&gt;=3),"Low",IF(AND(H196*I196&lt;3,H196*I196&gt;=1),"Very Low",""))))))</f>
        <v>Medium</v>
      </c>
      <c r="K196" s="323" t="s">
        <v>1615</v>
      </c>
      <c r="L196" s="322" t="s">
        <v>169</v>
      </c>
      <c r="M196" s="58" t="str">
        <f t="shared" si="11"/>
        <v>Very Low</v>
      </c>
      <c r="N196" s="128"/>
      <c r="O196" s="128"/>
      <c r="P196" s="128"/>
      <c r="Q196" s="128"/>
      <c r="R196" s="65"/>
      <c r="S196" s="154"/>
      <c r="U196" s="140"/>
      <c r="V196" s="141"/>
    </row>
    <row r="197" spans="1:22" ht="26">
      <c r="A197" s="121" t="s">
        <v>869</v>
      </c>
      <c r="B197" s="121" t="s">
        <v>88</v>
      </c>
      <c r="C197" s="316" t="s">
        <v>870</v>
      </c>
      <c r="D197" s="122" t="s">
        <v>871</v>
      </c>
      <c r="E197" s="316" t="s">
        <v>872</v>
      </c>
      <c r="F197" s="122" t="s">
        <v>114</v>
      </c>
      <c r="G197" s="122" t="s">
        <v>84</v>
      </c>
      <c r="H197" s="58">
        <f>IF(F197='Risk Methedology Matrix'!B$26,5,IF(F197='Risk Methedology Matrix'!B$27,4,IF(F197='Risk Methedology Matrix'!B$28,3,IF(F197='Risk Methedology Matrix'!B$29,2,IF(F197='Risk Methedology Matrix'!B$30,1,0)))))</f>
        <v>3</v>
      </c>
      <c r="I197" s="58">
        <f>IF(G197='Risk Methedology Matrix'!G$25,5,IF(G197='Risk Methedology Matrix'!F$25,4,IF(G197='Risk Methedology Matrix'!E$25,3,IF(G197='Risk Methedology Matrix'!D$25,2,IF(G197='Risk Methedology Matrix'!C$25,1,0)))))</f>
        <v>4</v>
      </c>
      <c r="J197" s="58" t="str">
        <f t="shared" ref="J197:J230" si="17">IF(OR(F197="",G197=""),"",IF(H197*I197&gt;=20,"Very High",IF(AND(H197*I197&lt;20,H197*I197&gt;=11),"High",IF(AND(H197*I197&lt;11,H197*I197&gt;=6),"Medium",IF(AND(H197*I197&lt;6,H197*I197&gt;=3),"Low",IF(AND(H197*I197&lt;3,H197*I197&gt;=1),"Very Low",""))))))</f>
        <v>High</v>
      </c>
      <c r="K197" s="316" t="s">
        <v>967</v>
      </c>
      <c r="L197" s="103" t="s">
        <v>169</v>
      </c>
      <c r="M197" s="58" t="str">
        <f t="shared" si="11"/>
        <v>Low</v>
      </c>
      <c r="N197" s="26"/>
      <c r="O197" s="26"/>
      <c r="P197" s="26"/>
      <c r="Q197" s="26"/>
      <c r="R197" s="65"/>
      <c r="S197" s="154" t="str">
        <f t="shared" si="10"/>
        <v/>
      </c>
      <c r="U197" s="140"/>
      <c r="V197" s="141"/>
    </row>
    <row r="198" spans="1:22" ht="26">
      <c r="A198" s="121" t="s">
        <v>873</v>
      </c>
      <c r="B198" s="121" t="s">
        <v>88</v>
      </c>
      <c r="C198" s="121" t="s">
        <v>874</v>
      </c>
      <c r="D198" s="122" t="s">
        <v>871</v>
      </c>
      <c r="E198" s="121" t="s">
        <v>875</v>
      </c>
      <c r="F198" s="122" t="s">
        <v>126</v>
      </c>
      <c r="G198" s="122" t="s">
        <v>161</v>
      </c>
      <c r="H198" s="58">
        <f>IF(F198='Risk Methedology Matrix'!B$26,5,IF(F198='Risk Methedology Matrix'!B$27,4,IF(F198='Risk Methedology Matrix'!B$28,3,IF(F198='Risk Methedology Matrix'!B$29,2,IF(F198='Risk Methedology Matrix'!B$30,1,0)))))</f>
        <v>2</v>
      </c>
      <c r="I198" s="58">
        <f>IF(G198='Risk Methedology Matrix'!G$25,5,IF(G198='Risk Methedology Matrix'!F$25,4,IF(G198='Risk Methedology Matrix'!E$25,3,IF(G198='Risk Methedology Matrix'!D$25,2,IF(G198='Risk Methedology Matrix'!C$25,1,0)))))</f>
        <v>2</v>
      </c>
      <c r="J198" s="58" t="str">
        <f t="shared" si="17"/>
        <v>Low</v>
      </c>
      <c r="K198" s="121" t="s">
        <v>967</v>
      </c>
      <c r="L198" s="103" t="s">
        <v>85</v>
      </c>
      <c r="M198" s="58" t="str">
        <f t="shared" si="11"/>
        <v>Very Low</v>
      </c>
      <c r="N198" s="26"/>
      <c r="O198" s="26"/>
      <c r="P198" s="26"/>
      <c r="Q198" s="26"/>
      <c r="R198" s="65"/>
      <c r="S198" s="154" t="str">
        <f t="shared" si="10"/>
        <v/>
      </c>
      <c r="U198" s="140"/>
      <c r="V198" s="141"/>
    </row>
    <row r="199" spans="1:22" ht="26">
      <c r="A199" s="121" t="s">
        <v>876</v>
      </c>
      <c r="B199" s="121" t="s">
        <v>88</v>
      </c>
      <c r="C199" s="121" t="s">
        <v>877</v>
      </c>
      <c r="D199" s="122" t="s">
        <v>871</v>
      </c>
      <c r="E199" s="121" t="s">
        <v>878</v>
      </c>
      <c r="F199" s="122" t="s">
        <v>126</v>
      </c>
      <c r="G199" s="122" t="s">
        <v>104</v>
      </c>
      <c r="H199" s="58">
        <f>IF(F199='Risk Methedology Matrix'!B$26,5,IF(F199='Risk Methedology Matrix'!B$27,4,IF(F199='Risk Methedology Matrix'!B$28,3,IF(F199='Risk Methedology Matrix'!B$29,2,IF(F199='Risk Methedology Matrix'!B$30,1,0)))))</f>
        <v>2</v>
      </c>
      <c r="I199" s="58">
        <f>IF(G199='Risk Methedology Matrix'!G$25,5,IF(G199='Risk Methedology Matrix'!F$25,4,IF(G199='Risk Methedology Matrix'!E$25,3,IF(G199='Risk Methedology Matrix'!D$25,2,IF(G199='Risk Methedology Matrix'!C$25,1,0)))))</f>
        <v>3</v>
      </c>
      <c r="J199" s="58" t="str">
        <f t="shared" si="17"/>
        <v>Medium</v>
      </c>
      <c r="K199" s="121" t="s">
        <v>968</v>
      </c>
      <c r="L199" s="103" t="s">
        <v>85</v>
      </c>
      <c r="M199" s="58" t="str">
        <f t="shared" si="11"/>
        <v>Low</v>
      </c>
      <c r="N199" s="26"/>
      <c r="O199" s="26"/>
      <c r="P199" s="26"/>
      <c r="Q199" s="26"/>
      <c r="R199" s="65"/>
      <c r="S199" s="154" t="str">
        <f t="shared" si="10"/>
        <v/>
      </c>
      <c r="U199" s="140"/>
      <c r="V199" s="141"/>
    </row>
    <row r="200" spans="1:22" ht="26">
      <c r="A200" s="121" t="s">
        <v>879</v>
      </c>
      <c r="B200" s="121" t="s">
        <v>88</v>
      </c>
      <c r="C200" s="121" t="s">
        <v>880</v>
      </c>
      <c r="D200" s="122" t="s">
        <v>871</v>
      </c>
      <c r="E200" s="121" t="s">
        <v>881</v>
      </c>
      <c r="F200" s="122" t="s">
        <v>126</v>
      </c>
      <c r="G200" s="122" t="s">
        <v>161</v>
      </c>
      <c r="H200" s="58">
        <f>IF(F200='Risk Methedology Matrix'!B$26,5,IF(F200='Risk Methedology Matrix'!B$27,4,IF(F200='Risk Methedology Matrix'!B$28,3,IF(F200='Risk Methedology Matrix'!B$29,2,IF(F200='Risk Methedology Matrix'!B$30,1,0)))))</f>
        <v>2</v>
      </c>
      <c r="I200" s="58">
        <f>IF(G200='Risk Methedology Matrix'!G$25,5,IF(G200='Risk Methedology Matrix'!F$25,4,IF(G200='Risk Methedology Matrix'!E$25,3,IF(G200='Risk Methedology Matrix'!D$25,2,IF(G200='Risk Methedology Matrix'!C$25,1,0)))))</f>
        <v>2</v>
      </c>
      <c r="J200" s="58" t="str">
        <f t="shared" si="17"/>
        <v>Low</v>
      </c>
      <c r="K200" s="121" t="s">
        <v>969</v>
      </c>
      <c r="L200" s="103" t="s">
        <v>85</v>
      </c>
      <c r="M200" s="58" t="str">
        <f t="shared" si="11"/>
        <v>Very Low</v>
      </c>
      <c r="N200" s="26"/>
      <c r="O200" s="26"/>
      <c r="P200" s="26"/>
      <c r="Q200" s="26"/>
      <c r="R200" s="65"/>
      <c r="S200" s="154" t="str">
        <f t="shared" si="10"/>
        <v/>
      </c>
      <c r="U200" s="140"/>
      <c r="V200" s="141"/>
    </row>
    <row r="201" spans="1:22" ht="26">
      <c r="A201" s="121" t="s">
        <v>882</v>
      </c>
      <c r="B201" s="121" t="s">
        <v>79</v>
      </c>
      <c r="C201" s="121" t="s">
        <v>883</v>
      </c>
      <c r="D201" s="122" t="s">
        <v>871</v>
      </c>
      <c r="E201" s="121" t="s">
        <v>884</v>
      </c>
      <c r="F201" s="122" t="s">
        <v>126</v>
      </c>
      <c r="G201" s="122" t="s">
        <v>161</v>
      </c>
      <c r="H201" s="58">
        <f>IF(F201='Risk Methedology Matrix'!B$26,5,IF(F201='Risk Methedology Matrix'!B$27,4,IF(F201='Risk Methedology Matrix'!B$28,3,IF(F201='Risk Methedology Matrix'!B$29,2,IF(F201='Risk Methedology Matrix'!B$30,1,0)))))</f>
        <v>2</v>
      </c>
      <c r="I201" s="58">
        <f>IF(G201='Risk Methedology Matrix'!G$25,5,IF(G201='Risk Methedology Matrix'!F$25,4,IF(G201='Risk Methedology Matrix'!E$25,3,IF(G201='Risk Methedology Matrix'!D$25,2,IF(G201='Risk Methedology Matrix'!C$25,1,0)))))</f>
        <v>2</v>
      </c>
      <c r="J201" s="58" t="str">
        <f t="shared" si="17"/>
        <v>Low</v>
      </c>
      <c r="K201" s="121" t="s">
        <v>970</v>
      </c>
      <c r="L201" s="103" t="s">
        <v>85</v>
      </c>
      <c r="M201" s="58" t="str">
        <f t="shared" si="11"/>
        <v>Very Low</v>
      </c>
      <c r="N201" s="26"/>
      <c r="O201" s="26"/>
      <c r="P201" s="26"/>
      <c r="Q201" s="26"/>
      <c r="R201" s="65"/>
      <c r="S201" s="154" t="str">
        <f t="shared" si="10"/>
        <v/>
      </c>
      <c r="U201" s="140"/>
      <c r="V201" s="141"/>
    </row>
    <row r="202" spans="1:22" ht="26">
      <c r="A202" s="121" t="s">
        <v>885</v>
      </c>
      <c r="B202" s="121" t="s">
        <v>88</v>
      </c>
      <c r="C202" s="121" t="s">
        <v>886</v>
      </c>
      <c r="D202" s="122" t="s">
        <v>871</v>
      </c>
      <c r="E202" s="121" t="s">
        <v>887</v>
      </c>
      <c r="F202" s="122" t="s">
        <v>83</v>
      </c>
      <c r="G202" s="122" t="s">
        <v>104</v>
      </c>
      <c r="H202" s="58">
        <f>IF(F202='Risk Methedology Matrix'!B$26,5,IF(F202='Risk Methedology Matrix'!B$27,4,IF(F202='Risk Methedology Matrix'!B$28,3,IF(F202='Risk Methedology Matrix'!B$29,2,IF(F202='Risk Methedology Matrix'!B$30,1,0)))))</f>
        <v>4</v>
      </c>
      <c r="I202" s="58">
        <f>IF(G202='Risk Methedology Matrix'!G$25,5,IF(G202='Risk Methedology Matrix'!F$25,4,IF(G202='Risk Methedology Matrix'!E$25,3,IF(G202='Risk Methedology Matrix'!D$25,2,IF(G202='Risk Methedology Matrix'!C$25,1,0)))))</f>
        <v>3</v>
      </c>
      <c r="J202" s="58" t="str">
        <f t="shared" si="17"/>
        <v>High</v>
      </c>
      <c r="K202" s="121" t="s">
        <v>971</v>
      </c>
      <c r="L202" s="103" t="s">
        <v>169</v>
      </c>
      <c r="M202" s="58" t="str">
        <f t="shared" si="11"/>
        <v>Low</v>
      </c>
      <c r="N202" s="26"/>
      <c r="O202" s="26"/>
      <c r="P202" s="26"/>
      <c r="Q202" s="26"/>
      <c r="R202" s="65"/>
      <c r="S202" s="154" t="str">
        <f t="shared" si="10"/>
        <v/>
      </c>
      <c r="U202" s="140"/>
      <c r="V202" s="141"/>
    </row>
    <row r="203" spans="1:22" ht="13">
      <c r="A203" s="121" t="s">
        <v>888</v>
      </c>
      <c r="B203" s="121" t="s">
        <v>88</v>
      </c>
      <c r="C203" s="121" t="s">
        <v>889</v>
      </c>
      <c r="D203" s="122" t="s">
        <v>871</v>
      </c>
      <c r="E203" s="121" t="s">
        <v>890</v>
      </c>
      <c r="F203" s="122" t="s">
        <v>83</v>
      </c>
      <c r="G203" s="122" t="s">
        <v>104</v>
      </c>
      <c r="H203" s="58">
        <f>IF(F203='Risk Methedology Matrix'!B$26,5,IF(F203='Risk Methedology Matrix'!B$27,4,IF(F203='Risk Methedology Matrix'!B$28,3,IF(F203='Risk Methedology Matrix'!B$29,2,IF(F203='Risk Methedology Matrix'!B$30,1,0)))))</f>
        <v>4</v>
      </c>
      <c r="I203" s="58">
        <f>IF(G203='Risk Methedology Matrix'!G$25,5,IF(G203='Risk Methedology Matrix'!F$25,4,IF(G203='Risk Methedology Matrix'!E$25,3,IF(G203='Risk Methedology Matrix'!D$25,2,IF(G203='Risk Methedology Matrix'!C$25,1,0)))))</f>
        <v>3</v>
      </c>
      <c r="J203" s="58" t="str">
        <f t="shared" si="17"/>
        <v>High</v>
      </c>
      <c r="K203" s="121" t="s">
        <v>972</v>
      </c>
      <c r="L203" s="103" t="s">
        <v>169</v>
      </c>
      <c r="M203" s="58" t="str">
        <f t="shared" si="11"/>
        <v>Low</v>
      </c>
      <c r="N203" s="26"/>
      <c r="O203" s="26"/>
      <c r="P203" s="26"/>
      <c r="Q203" s="26"/>
      <c r="R203" s="65"/>
      <c r="S203" s="154" t="str">
        <f t="shared" si="10"/>
        <v/>
      </c>
      <c r="U203" s="140"/>
      <c r="V203" s="141"/>
    </row>
    <row r="204" spans="1:22" ht="13">
      <c r="A204" s="121" t="s">
        <v>891</v>
      </c>
      <c r="B204" s="121" t="s">
        <v>88</v>
      </c>
      <c r="C204" s="121" t="s">
        <v>892</v>
      </c>
      <c r="D204" s="122" t="s">
        <v>871</v>
      </c>
      <c r="E204" s="121" t="s">
        <v>893</v>
      </c>
      <c r="F204" s="122" t="s">
        <v>114</v>
      </c>
      <c r="G204" s="122" t="s">
        <v>84</v>
      </c>
      <c r="H204" s="58">
        <f>IF(F204='Risk Methedology Matrix'!B$26,5,IF(F204='Risk Methedology Matrix'!B$27,4,IF(F204='Risk Methedology Matrix'!B$28,3,IF(F204='Risk Methedology Matrix'!B$29,2,IF(F204='Risk Methedology Matrix'!B$30,1,0)))))</f>
        <v>3</v>
      </c>
      <c r="I204" s="58">
        <f>IF(G204='Risk Methedology Matrix'!G$25,5,IF(G204='Risk Methedology Matrix'!F$25,4,IF(G204='Risk Methedology Matrix'!E$25,3,IF(G204='Risk Methedology Matrix'!D$25,2,IF(G204='Risk Methedology Matrix'!C$25,1,0)))))</f>
        <v>4</v>
      </c>
      <c r="J204" s="58" t="str">
        <f t="shared" si="17"/>
        <v>High</v>
      </c>
      <c r="K204" s="121" t="s">
        <v>973</v>
      </c>
      <c r="L204" s="103" t="s">
        <v>169</v>
      </c>
      <c r="M204" s="58" t="str">
        <f t="shared" si="11"/>
        <v>Low</v>
      </c>
      <c r="N204" s="26"/>
      <c r="O204" s="26"/>
      <c r="P204" s="26"/>
      <c r="Q204" s="26"/>
      <c r="R204" s="65"/>
      <c r="S204" s="154" t="str">
        <f t="shared" si="10"/>
        <v/>
      </c>
      <c r="U204" s="140"/>
      <c r="V204" s="141"/>
    </row>
    <row r="205" spans="1:22" ht="13">
      <c r="A205" s="121" t="s">
        <v>894</v>
      </c>
      <c r="B205" s="121" t="s">
        <v>88</v>
      </c>
      <c r="C205" s="121" t="s">
        <v>895</v>
      </c>
      <c r="D205" s="122" t="s">
        <v>871</v>
      </c>
      <c r="E205" s="121" t="s">
        <v>896</v>
      </c>
      <c r="F205" s="122" t="s">
        <v>114</v>
      </c>
      <c r="G205" s="122" t="s">
        <v>104</v>
      </c>
      <c r="H205" s="58">
        <f>IF(F205='Risk Methedology Matrix'!B$26,5,IF(F205='Risk Methedology Matrix'!B$27,4,IF(F205='Risk Methedology Matrix'!B$28,3,IF(F205='Risk Methedology Matrix'!B$29,2,IF(F205='Risk Methedology Matrix'!B$30,1,0)))))</f>
        <v>3</v>
      </c>
      <c r="I205" s="58">
        <f>IF(G205='Risk Methedology Matrix'!G$25,5,IF(G205='Risk Methedology Matrix'!F$25,4,IF(G205='Risk Methedology Matrix'!E$25,3,IF(G205='Risk Methedology Matrix'!D$25,2,IF(G205='Risk Methedology Matrix'!C$25,1,0)))))</f>
        <v>3</v>
      </c>
      <c r="J205" s="58" t="str">
        <f t="shared" si="17"/>
        <v>Medium</v>
      </c>
      <c r="K205" s="121" t="s">
        <v>974</v>
      </c>
      <c r="L205" s="103" t="s">
        <v>85</v>
      </c>
      <c r="M205" s="58" t="str">
        <f t="shared" si="11"/>
        <v>Low</v>
      </c>
      <c r="N205" s="26"/>
      <c r="O205" s="26"/>
      <c r="P205" s="26"/>
      <c r="Q205" s="26"/>
      <c r="R205" s="65"/>
      <c r="S205" s="154" t="str">
        <f t="shared" si="10"/>
        <v/>
      </c>
      <c r="U205" s="140"/>
      <c r="V205" s="141"/>
    </row>
    <row r="206" spans="1:22" ht="26">
      <c r="A206" s="121" t="s">
        <v>897</v>
      </c>
      <c r="B206" s="121" t="s">
        <v>88</v>
      </c>
      <c r="C206" s="121" t="s">
        <v>898</v>
      </c>
      <c r="D206" s="122" t="s">
        <v>871</v>
      </c>
      <c r="E206" s="121" t="s">
        <v>899</v>
      </c>
      <c r="F206" s="122" t="s">
        <v>109</v>
      </c>
      <c r="G206" s="122" t="s">
        <v>104</v>
      </c>
      <c r="H206" s="58">
        <f>IF(F206='Risk Methedology Matrix'!B$26,5,IF(F206='Risk Methedology Matrix'!B$27,4,IF(F206='Risk Methedology Matrix'!B$28,3,IF(F206='Risk Methedology Matrix'!B$29,2,IF(F206='Risk Methedology Matrix'!B$30,1,0)))))</f>
        <v>5</v>
      </c>
      <c r="I206" s="58">
        <f>IF(G206='Risk Methedology Matrix'!G$25,5,IF(G206='Risk Methedology Matrix'!F$25,4,IF(G206='Risk Methedology Matrix'!E$25,3,IF(G206='Risk Methedology Matrix'!D$25,2,IF(G206='Risk Methedology Matrix'!C$25,1,0)))))</f>
        <v>3</v>
      </c>
      <c r="J206" s="58" t="str">
        <f t="shared" si="17"/>
        <v>High</v>
      </c>
      <c r="K206" s="121" t="s">
        <v>975</v>
      </c>
      <c r="L206" s="103" t="s">
        <v>169</v>
      </c>
      <c r="M206" s="58" t="str">
        <f t="shared" si="11"/>
        <v>Low</v>
      </c>
      <c r="N206" s="26"/>
      <c r="O206" s="26"/>
      <c r="P206" s="26"/>
      <c r="Q206" s="26"/>
      <c r="R206" s="65"/>
      <c r="S206" s="154" t="str">
        <f t="shared" si="10"/>
        <v/>
      </c>
      <c r="U206" s="140"/>
      <c r="V206" s="141"/>
    </row>
    <row r="207" spans="1:22" ht="26">
      <c r="A207" s="121" t="s">
        <v>900</v>
      </c>
      <c r="B207" s="121" t="s">
        <v>88</v>
      </c>
      <c r="C207" s="121" t="s">
        <v>901</v>
      </c>
      <c r="D207" s="122" t="s">
        <v>871</v>
      </c>
      <c r="E207" s="121" t="s">
        <v>902</v>
      </c>
      <c r="F207" s="122" t="s">
        <v>109</v>
      </c>
      <c r="G207" s="122" t="s">
        <v>104</v>
      </c>
      <c r="H207" s="58">
        <f>IF(F207='Risk Methedology Matrix'!B$26,5,IF(F207='Risk Methedology Matrix'!B$27,4,IF(F207='Risk Methedology Matrix'!B$28,3,IF(F207='Risk Methedology Matrix'!B$29,2,IF(F207='Risk Methedology Matrix'!B$30,1,0)))))</f>
        <v>5</v>
      </c>
      <c r="I207" s="58">
        <f>IF(G207='Risk Methedology Matrix'!G$25,5,IF(G207='Risk Methedology Matrix'!F$25,4,IF(G207='Risk Methedology Matrix'!E$25,3,IF(G207='Risk Methedology Matrix'!D$25,2,IF(G207='Risk Methedology Matrix'!C$25,1,0)))))</f>
        <v>3</v>
      </c>
      <c r="J207" s="58" t="str">
        <f t="shared" si="17"/>
        <v>High</v>
      </c>
      <c r="K207" s="121" t="s">
        <v>971</v>
      </c>
      <c r="L207" s="103" t="s">
        <v>169</v>
      </c>
      <c r="M207" s="58" t="str">
        <f t="shared" si="11"/>
        <v>Low</v>
      </c>
      <c r="N207" s="26"/>
      <c r="O207" s="26"/>
      <c r="P207" s="26"/>
      <c r="Q207" s="26"/>
      <c r="R207" s="65"/>
      <c r="S207" s="154" t="str">
        <f t="shared" si="10"/>
        <v/>
      </c>
      <c r="U207" s="140"/>
      <c r="V207" s="141"/>
    </row>
    <row r="208" spans="1:22" ht="26">
      <c r="A208" s="121" t="s">
        <v>903</v>
      </c>
      <c r="B208" s="121" t="s">
        <v>88</v>
      </c>
      <c r="C208" s="121" t="s">
        <v>904</v>
      </c>
      <c r="D208" s="122" t="s">
        <v>871</v>
      </c>
      <c r="E208" s="121" t="s">
        <v>905</v>
      </c>
      <c r="F208" s="122" t="s">
        <v>114</v>
      </c>
      <c r="G208" s="122" t="s">
        <v>104</v>
      </c>
      <c r="H208" s="58">
        <f>IF(F208='Risk Methedology Matrix'!B$26,5,IF(F208='Risk Methedology Matrix'!B$27,4,IF(F208='Risk Methedology Matrix'!B$28,3,IF(F208='Risk Methedology Matrix'!B$29,2,IF(F208='Risk Methedology Matrix'!B$30,1,0)))))</f>
        <v>3</v>
      </c>
      <c r="I208" s="58">
        <f>IF(G208='Risk Methedology Matrix'!G$25,5,IF(G208='Risk Methedology Matrix'!F$25,4,IF(G208='Risk Methedology Matrix'!E$25,3,IF(G208='Risk Methedology Matrix'!D$25,2,IF(G208='Risk Methedology Matrix'!C$25,1,0)))))</f>
        <v>3</v>
      </c>
      <c r="J208" s="58" t="str">
        <f t="shared" si="17"/>
        <v>Medium</v>
      </c>
      <c r="K208" s="121" t="s">
        <v>976</v>
      </c>
      <c r="L208" s="103" t="s">
        <v>85</v>
      </c>
      <c r="M208" s="58" t="str">
        <f t="shared" si="11"/>
        <v>Low</v>
      </c>
      <c r="N208" s="26"/>
      <c r="O208" s="26"/>
      <c r="P208" s="26"/>
      <c r="Q208" s="26"/>
      <c r="R208" s="65"/>
      <c r="S208" s="154" t="str">
        <f t="shared" si="10"/>
        <v/>
      </c>
      <c r="U208" s="140"/>
      <c r="V208" s="141"/>
    </row>
    <row r="209" spans="1:22" ht="13">
      <c r="A209" s="121" t="s">
        <v>906</v>
      </c>
      <c r="B209" s="121" t="s">
        <v>88</v>
      </c>
      <c r="C209" s="121" t="s">
        <v>907</v>
      </c>
      <c r="D209" s="122" t="s">
        <v>871</v>
      </c>
      <c r="E209" s="121" t="s">
        <v>908</v>
      </c>
      <c r="F209" s="122" t="s">
        <v>83</v>
      </c>
      <c r="G209" s="122" t="s">
        <v>104</v>
      </c>
      <c r="H209" s="58">
        <f>IF(F209='Risk Methedology Matrix'!B$26,5,IF(F209='Risk Methedology Matrix'!B$27,4,IF(F209='Risk Methedology Matrix'!B$28,3,IF(F209='Risk Methedology Matrix'!B$29,2,IF(F209='Risk Methedology Matrix'!B$30,1,0)))))</f>
        <v>4</v>
      </c>
      <c r="I209" s="58">
        <f>IF(G209='Risk Methedology Matrix'!G$25,5,IF(G209='Risk Methedology Matrix'!F$25,4,IF(G209='Risk Methedology Matrix'!E$25,3,IF(G209='Risk Methedology Matrix'!D$25,2,IF(G209='Risk Methedology Matrix'!C$25,1,0)))))</f>
        <v>3</v>
      </c>
      <c r="J209" s="58" t="str">
        <f t="shared" si="17"/>
        <v>High</v>
      </c>
      <c r="K209" s="121" t="s">
        <v>977</v>
      </c>
      <c r="L209" s="103" t="s">
        <v>169</v>
      </c>
      <c r="M209" s="58" t="str">
        <f t="shared" si="11"/>
        <v>Low</v>
      </c>
      <c r="N209" s="26"/>
      <c r="O209" s="26"/>
      <c r="P209" s="26"/>
      <c r="Q209" s="26"/>
      <c r="R209" s="65"/>
      <c r="S209" s="154" t="str">
        <f t="shared" si="10"/>
        <v/>
      </c>
      <c r="U209" s="140"/>
      <c r="V209" s="141"/>
    </row>
    <row r="210" spans="1:22" ht="13">
      <c r="A210" s="121" t="s">
        <v>909</v>
      </c>
      <c r="B210" s="121" t="s">
        <v>88</v>
      </c>
      <c r="C210" s="121" t="s">
        <v>910</v>
      </c>
      <c r="D210" s="122" t="s">
        <v>871</v>
      </c>
      <c r="E210" s="121" t="s">
        <v>911</v>
      </c>
      <c r="F210" s="122" t="s">
        <v>83</v>
      </c>
      <c r="G210" s="122" t="s">
        <v>104</v>
      </c>
      <c r="H210" s="58">
        <f>IF(F210='Risk Methedology Matrix'!B$26,5,IF(F210='Risk Methedology Matrix'!B$27,4,IF(F210='Risk Methedology Matrix'!B$28,3,IF(F210='Risk Methedology Matrix'!B$29,2,IF(F210='Risk Methedology Matrix'!B$30,1,0)))))</f>
        <v>4</v>
      </c>
      <c r="I210" s="58">
        <f>IF(G210='Risk Methedology Matrix'!G$25,5,IF(G210='Risk Methedology Matrix'!F$25,4,IF(G210='Risk Methedology Matrix'!E$25,3,IF(G210='Risk Methedology Matrix'!D$25,2,IF(G210='Risk Methedology Matrix'!C$25,1,0)))))</f>
        <v>3</v>
      </c>
      <c r="J210" s="58" t="str">
        <f t="shared" si="17"/>
        <v>High</v>
      </c>
      <c r="K210" s="121" t="s">
        <v>978</v>
      </c>
      <c r="L210" s="103" t="s">
        <v>169</v>
      </c>
      <c r="M210" s="58" t="str">
        <f t="shared" si="11"/>
        <v>Low</v>
      </c>
      <c r="N210" s="26"/>
      <c r="O210" s="26"/>
      <c r="P210" s="26"/>
      <c r="Q210" s="26"/>
      <c r="R210" s="65"/>
      <c r="S210" s="154" t="str">
        <f t="shared" si="10"/>
        <v/>
      </c>
      <c r="U210" s="140"/>
      <c r="V210" s="141"/>
    </row>
    <row r="211" spans="1:22" ht="26">
      <c r="A211" s="121" t="s">
        <v>912</v>
      </c>
      <c r="B211" s="121" t="s">
        <v>88</v>
      </c>
      <c r="C211" s="121" t="s">
        <v>913</v>
      </c>
      <c r="D211" s="122" t="s">
        <v>871</v>
      </c>
      <c r="E211" s="121" t="s">
        <v>914</v>
      </c>
      <c r="F211" s="122" t="s">
        <v>126</v>
      </c>
      <c r="G211" s="122" t="s">
        <v>104</v>
      </c>
      <c r="H211" s="58">
        <f>IF(F211='Risk Methedology Matrix'!B$26,5,IF(F211='Risk Methedology Matrix'!B$27,4,IF(F211='Risk Methedology Matrix'!B$28,3,IF(F211='Risk Methedology Matrix'!B$29,2,IF(F211='Risk Methedology Matrix'!B$30,1,0)))))</f>
        <v>2</v>
      </c>
      <c r="I211" s="58">
        <f>IF(G211='Risk Methedology Matrix'!G$25,5,IF(G211='Risk Methedology Matrix'!F$25,4,IF(G211='Risk Methedology Matrix'!E$25,3,IF(G211='Risk Methedology Matrix'!D$25,2,IF(G211='Risk Methedology Matrix'!C$25,1,0)))))</f>
        <v>3</v>
      </c>
      <c r="J211" s="58" t="str">
        <f t="shared" si="17"/>
        <v>Medium</v>
      </c>
      <c r="K211" s="121" t="s">
        <v>968</v>
      </c>
      <c r="L211" s="103" t="s">
        <v>85</v>
      </c>
      <c r="M211" s="58" t="str">
        <f t="shared" ref="M211:M274" si="18">IF(OR(J211="",L211=""),"",
IF(AND(J211="Very High",L211="Excellent"),"Low",
IF(AND(J211="Very High",L211="Good"),"Medium",
IF(AND(J211="Very High",L211="Fair"),"High",
IF(AND(J211="Very High",L211="Poor"),"Very High",
IF(AND(J211="Very High",L211="Unsatisfactory"),"Very High",
IF(AND(J211="High",L211="Excellent"),"Very Low",
IF(AND(J211="High",L211="Good"),"Low",
IF(AND(J211="High",L211="Fair"),"Medium",
IF(AND(J211="High",L211="Poor"),"High",
IF(AND(J211="High",L211="Unsatisfactory"),"High",
IF(AND(J211="Medium",L211="Excellent"),"Very Low",
IF(AND(J211="Medium",L211="Good"),"Very Low",
IF(AND(J211="Medium",L211="Fair"),"Low",
IF(AND(J211="Medium",L211="Poor"),"Medium",
IF(AND(J211="Medium",L211="Unsatisfactory"),"Medium",
IF(AND(J211="Low",L211="Excellent"),"Very Low",
IF(AND(J211="Low",L211="Good"),"Very Low",
IF(AND(J211="Low",L211="Fair"),"Very Low",
IF(AND(J211="Low",L211="Poor"),"Low",
IF(AND(J211="Low",L211="Unsatisfactory"),"Low",
IF(AND(J211="Very Low",L211="Excellent"),"Very Low",
IF(AND(J211="Very Low",L211="Good"),"Very Low",
IF(AND(J211="Very Low",L211="Fair"),"Very Low",
IF(AND(J211="Very Low",L211="Poor"),"Very Low",
IF(AND(J211="Very Low",L211="Unsatisfactory"),"Very Low",""))))))))))))))))))))))))))</f>
        <v>Low</v>
      </c>
      <c r="N211" s="26"/>
      <c r="O211" s="26"/>
      <c r="P211" s="26"/>
      <c r="Q211" s="26"/>
      <c r="R211" s="65"/>
      <c r="S211" s="154" t="str">
        <f t="shared" si="10"/>
        <v/>
      </c>
      <c r="U211" s="140"/>
      <c r="V211" s="141"/>
    </row>
    <row r="212" spans="1:22" ht="26">
      <c r="A212" s="121" t="s">
        <v>915</v>
      </c>
      <c r="B212" s="121" t="s">
        <v>88</v>
      </c>
      <c r="C212" s="121" t="s">
        <v>916</v>
      </c>
      <c r="D212" s="122" t="s">
        <v>871</v>
      </c>
      <c r="E212" s="121" t="s">
        <v>917</v>
      </c>
      <c r="F212" s="122" t="s">
        <v>114</v>
      </c>
      <c r="G212" s="122" t="s">
        <v>104</v>
      </c>
      <c r="H212" s="58">
        <f>IF(F212='Risk Methedology Matrix'!B$26,5,IF(F212='Risk Methedology Matrix'!B$27,4,IF(F212='Risk Methedology Matrix'!B$28,3,IF(F212='Risk Methedology Matrix'!B$29,2,IF(F212='Risk Methedology Matrix'!B$30,1,0)))))</f>
        <v>3</v>
      </c>
      <c r="I212" s="58">
        <f>IF(G212='Risk Methedology Matrix'!G$25,5,IF(G212='Risk Methedology Matrix'!F$25,4,IF(G212='Risk Methedology Matrix'!E$25,3,IF(G212='Risk Methedology Matrix'!D$25,2,IF(G212='Risk Methedology Matrix'!C$25,1,0)))))</f>
        <v>3</v>
      </c>
      <c r="J212" s="58" t="str">
        <f t="shared" si="17"/>
        <v>Medium</v>
      </c>
      <c r="K212" s="121" t="s">
        <v>979</v>
      </c>
      <c r="L212" s="103" t="s">
        <v>85</v>
      </c>
      <c r="M212" s="58" t="str">
        <f t="shared" si="18"/>
        <v>Low</v>
      </c>
      <c r="N212" s="26"/>
      <c r="O212" s="26"/>
      <c r="P212" s="26"/>
      <c r="Q212" s="26"/>
      <c r="R212" s="65"/>
      <c r="S212" s="154" t="str">
        <f t="shared" si="10"/>
        <v/>
      </c>
      <c r="U212" s="140"/>
      <c r="V212" s="141"/>
    </row>
    <row r="213" spans="1:22" ht="26">
      <c r="A213" s="121" t="s">
        <v>918</v>
      </c>
      <c r="B213" s="121" t="s">
        <v>88</v>
      </c>
      <c r="C213" s="121" t="s">
        <v>919</v>
      </c>
      <c r="D213" s="122" t="s">
        <v>871</v>
      </c>
      <c r="E213" s="121" t="s">
        <v>920</v>
      </c>
      <c r="F213" s="122" t="s">
        <v>114</v>
      </c>
      <c r="G213" s="122" t="s">
        <v>84</v>
      </c>
      <c r="H213" s="58">
        <f>IF(F213='Risk Methedology Matrix'!B$26,5,IF(F213='Risk Methedology Matrix'!B$27,4,IF(F213='Risk Methedology Matrix'!B$28,3,IF(F213='Risk Methedology Matrix'!B$29,2,IF(F213='Risk Methedology Matrix'!B$30,1,0)))))</f>
        <v>3</v>
      </c>
      <c r="I213" s="58">
        <f>IF(G213='Risk Methedology Matrix'!G$25,5,IF(G213='Risk Methedology Matrix'!F$25,4,IF(G213='Risk Methedology Matrix'!E$25,3,IF(G213='Risk Methedology Matrix'!D$25,2,IF(G213='Risk Methedology Matrix'!C$25,1,0)))))</f>
        <v>4</v>
      </c>
      <c r="J213" s="58" t="str">
        <f t="shared" si="17"/>
        <v>High</v>
      </c>
      <c r="K213" s="121" t="s">
        <v>980</v>
      </c>
      <c r="L213" s="103" t="s">
        <v>169</v>
      </c>
      <c r="M213" s="58" t="str">
        <f t="shared" si="18"/>
        <v>Low</v>
      </c>
      <c r="N213" s="26"/>
      <c r="O213" s="26"/>
      <c r="P213" s="26"/>
      <c r="Q213" s="26"/>
      <c r="R213" s="65"/>
      <c r="S213" s="154" t="str">
        <f t="shared" si="10"/>
        <v/>
      </c>
      <c r="U213" s="140"/>
      <c r="V213" s="141"/>
    </row>
    <row r="214" spans="1:22" ht="26">
      <c r="A214" s="121" t="s">
        <v>921</v>
      </c>
      <c r="B214" s="121" t="s">
        <v>88</v>
      </c>
      <c r="C214" s="121" t="s">
        <v>922</v>
      </c>
      <c r="D214" s="122" t="s">
        <v>871</v>
      </c>
      <c r="E214" s="121" t="s">
        <v>923</v>
      </c>
      <c r="F214" s="122" t="s">
        <v>114</v>
      </c>
      <c r="G214" s="122" t="s">
        <v>104</v>
      </c>
      <c r="H214" s="58">
        <f>IF(F214='Risk Methedology Matrix'!B$26,5,IF(F214='Risk Methedology Matrix'!B$27,4,IF(F214='Risk Methedology Matrix'!B$28,3,IF(F214='Risk Methedology Matrix'!B$29,2,IF(F214='Risk Methedology Matrix'!B$30,1,0)))))</f>
        <v>3</v>
      </c>
      <c r="I214" s="58">
        <f>IF(G214='Risk Methedology Matrix'!G$25,5,IF(G214='Risk Methedology Matrix'!F$25,4,IF(G214='Risk Methedology Matrix'!E$25,3,IF(G214='Risk Methedology Matrix'!D$25,2,IF(G214='Risk Methedology Matrix'!C$25,1,0)))))</f>
        <v>3</v>
      </c>
      <c r="J214" s="58" t="str">
        <f t="shared" si="17"/>
        <v>Medium</v>
      </c>
      <c r="K214" s="121" t="s">
        <v>981</v>
      </c>
      <c r="L214" s="103" t="s">
        <v>169</v>
      </c>
      <c r="M214" s="58" t="str">
        <f t="shared" si="18"/>
        <v>Very Low</v>
      </c>
      <c r="N214" s="26"/>
      <c r="O214" s="26"/>
      <c r="P214" s="26"/>
      <c r="Q214" s="26"/>
      <c r="R214" s="65"/>
      <c r="S214" s="154" t="str">
        <f t="shared" si="10"/>
        <v/>
      </c>
      <c r="U214" s="140"/>
      <c r="V214" s="141"/>
    </row>
    <row r="215" spans="1:22" ht="13">
      <c r="A215" s="121" t="s">
        <v>924</v>
      </c>
      <c r="B215" s="121" t="s">
        <v>88</v>
      </c>
      <c r="C215" s="121" t="s">
        <v>925</v>
      </c>
      <c r="D215" s="122" t="s">
        <v>871</v>
      </c>
      <c r="E215" s="121" t="s">
        <v>926</v>
      </c>
      <c r="F215" s="122" t="s">
        <v>83</v>
      </c>
      <c r="G215" s="122" t="s">
        <v>104</v>
      </c>
      <c r="H215" s="58">
        <f>IF(F215='Risk Methedology Matrix'!B$26,5,IF(F215='Risk Methedology Matrix'!B$27,4,IF(F215='Risk Methedology Matrix'!B$28,3,IF(F215='Risk Methedology Matrix'!B$29,2,IF(F215='Risk Methedology Matrix'!B$30,1,0)))))</f>
        <v>4</v>
      </c>
      <c r="I215" s="58">
        <f>IF(G215='Risk Methedology Matrix'!G$25,5,IF(G215='Risk Methedology Matrix'!F$25,4,IF(G215='Risk Methedology Matrix'!E$25,3,IF(G215='Risk Methedology Matrix'!D$25,2,IF(G215='Risk Methedology Matrix'!C$25,1,0)))))</f>
        <v>3</v>
      </c>
      <c r="J215" s="58" t="str">
        <f t="shared" si="17"/>
        <v>High</v>
      </c>
      <c r="K215" s="121" t="s">
        <v>982</v>
      </c>
      <c r="L215" s="103" t="s">
        <v>169</v>
      </c>
      <c r="M215" s="58" t="str">
        <f t="shared" si="18"/>
        <v>Low</v>
      </c>
      <c r="N215" s="26"/>
      <c r="O215" s="26"/>
      <c r="P215" s="26"/>
      <c r="Q215" s="26"/>
      <c r="R215" s="65"/>
      <c r="S215" s="154" t="str">
        <f t="shared" si="10"/>
        <v/>
      </c>
      <c r="U215" s="140"/>
      <c r="V215" s="141"/>
    </row>
    <row r="216" spans="1:22" ht="26">
      <c r="A216" s="121" t="s">
        <v>927</v>
      </c>
      <c r="B216" s="121" t="s">
        <v>88</v>
      </c>
      <c r="C216" s="121" t="s">
        <v>928</v>
      </c>
      <c r="D216" s="122" t="s">
        <v>871</v>
      </c>
      <c r="E216" s="121" t="s">
        <v>929</v>
      </c>
      <c r="F216" s="122" t="s">
        <v>83</v>
      </c>
      <c r="G216" s="122" t="s">
        <v>104</v>
      </c>
      <c r="H216" s="58">
        <f>IF(F216='Risk Methedology Matrix'!B$26,5,IF(F216='Risk Methedology Matrix'!B$27,4,IF(F216='Risk Methedology Matrix'!B$28,3,IF(F216='Risk Methedology Matrix'!B$29,2,IF(F216='Risk Methedology Matrix'!B$30,1,0)))))</f>
        <v>4</v>
      </c>
      <c r="I216" s="58">
        <f>IF(G216='Risk Methedology Matrix'!G$25,5,IF(G216='Risk Methedology Matrix'!F$25,4,IF(G216='Risk Methedology Matrix'!E$25,3,IF(G216='Risk Methedology Matrix'!D$25,2,IF(G216='Risk Methedology Matrix'!C$25,1,0)))))</f>
        <v>3</v>
      </c>
      <c r="J216" s="58" t="str">
        <f t="shared" si="17"/>
        <v>High</v>
      </c>
      <c r="K216" s="121" t="s">
        <v>971</v>
      </c>
      <c r="L216" s="103" t="s">
        <v>169</v>
      </c>
      <c r="M216" s="58" t="str">
        <f t="shared" si="18"/>
        <v>Low</v>
      </c>
      <c r="N216" s="26"/>
      <c r="O216" s="26"/>
      <c r="P216" s="26"/>
      <c r="Q216" s="26"/>
      <c r="R216" s="65"/>
      <c r="S216" s="154" t="str">
        <f t="shared" si="10"/>
        <v/>
      </c>
      <c r="U216" s="140"/>
      <c r="V216" s="141"/>
    </row>
    <row r="217" spans="1:22" ht="14.5">
      <c r="A217" s="121" t="s">
        <v>930</v>
      </c>
      <c r="B217" s="121" t="s">
        <v>79</v>
      </c>
      <c r="C217" s="121" t="s">
        <v>931</v>
      </c>
      <c r="D217" s="122" t="s">
        <v>871</v>
      </c>
      <c r="E217" s="121" t="s">
        <v>932</v>
      </c>
      <c r="F217" s="122" t="s">
        <v>114</v>
      </c>
      <c r="G217" s="122" t="s">
        <v>104</v>
      </c>
      <c r="H217" s="58">
        <f>IF(F217='Risk Methedology Matrix'!B$26,5,IF(F217='Risk Methedology Matrix'!B$27,4,IF(F217='Risk Methedology Matrix'!B$28,3,IF(F217='Risk Methedology Matrix'!B$29,2,IF(F217='Risk Methedology Matrix'!B$30,1,0)))))</f>
        <v>3</v>
      </c>
      <c r="I217" s="58">
        <f>IF(G217='Risk Methedology Matrix'!G$25,5,IF(G217='Risk Methedology Matrix'!F$25,4,IF(G217='Risk Methedology Matrix'!E$25,3,IF(G217='Risk Methedology Matrix'!D$25,2,IF(G217='Risk Methedology Matrix'!C$25,1,0)))))</f>
        <v>3</v>
      </c>
      <c r="J217" s="58" t="str">
        <f t="shared" si="17"/>
        <v>Medium</v>
      </c>
      <c r="K217" s="169" t="s">
        <v>1203</v>
      </c>
      <c r="L217" s="103" t="s">
        <v>169</v>
      </c>
      <c r="M217" s="58" t="str">
        <f t="shared" si="18"/>
        <v>Very Low</v>
      </c>
      <c r="N217" s="26"/>
      <c r="O217" s="26"/>
      <c r="P217" s="26"/>
      <c r="Q217" s="26"/>
      <c r="R217" s="65"/>
      <c r="S217" s="154" t="str">
        <f t="shared" si="10"/>
        <v/>
      </c>
      <c r="U217" s="140"/>
      <c r="V217" s="141"/>
    </row>
    <row r="218" spans="1:22" ht="14.5">
      <c r="A218" s="121" t="s">
        <v>933</v>
      </c>
      <c r="B218" s="121" t="s">
        <v>79</v>
      </c>
      <c r="C218" s="121" t="s">
        <v>931</v>
      </c>
      <c r="D218" s="122" t="s">
        <v>871</v>
      </c>
      <c r="E218" s="121" t="s">
        <v>934</v>
      </c>
      <c r="F218" s="122" t="s">
        <v>83</v>
      </c>
      <c r="G218" s="122" t="s">
        <v>161</v>
      </c>
      <c r="H218" s="58">
        <f>IF(F218='Risk Methedology Matrix'!B$26,5,IF(F218='Risk Methedology Matrix'!B$27,4,IF(F218='Risk Methedology Matrix'!B$28,3,IF(F218='Risk Methedology Matrix'!B$29,2,IF(F218='Risk Methedology Matrix'!B$30,1,0)))))</f>
        <v>4</v>
      </c>
      <c r="I218" s="58">
        <f>IF(G218='Risk Methedology Matrix'!G$25,5,IF(G218='Risk Methedology Matrix'!F$25,4,IF(G218='Risk Methedology Matrix'!E$25,3,IF(G218='Risk Methedology Matrix'!D$25,2,IF(G218='Risk Methedology Matrix'!C$25,1,0)))))</f>
        <v>2</v>
      </c>
      <c r="J218" s="58" t="str">
        <f t="shared" si="17"/>
        <v>Medium</v>
      </c>
      <c r="K218" s="169" t="s">
        <v>1204</v>
      </c>
      <c r="L218" s="103" t="s">
        <v>93</v>
      </c>
      <c r="M218" s="58" t="str">
        <f t="shared" si="18"/>
        <v>Medium</v>
      </c>
      <c r="N218" s="26"/>
      <c r="O218" s="26"/>
      <c r="P218" s="26"/>
      <c r="Q218" s="26"/>
      <c r="R218" s="65"/>
      <c r="S218" s="154" t="str">
        <f t="shared" si="10"/>
        <v/>
      </c>
      <c r="U218" s="140"/>
      <c r="V218" s="141"/>
    </row>
    <row r="219" spans="1:22" ht="14.5">
      <c r="A219" s="121" t="s">
        <v>935</v>
      </c>
      <c r="B219" s="121" t="s">
        <v>79</v>
      </c>
      <c r="C219" s="121" t="s">
        <v>931</v>
      </c>
      <c r="D219" s="122" t="s">
        <v>871</v>
      </c>
      <c r="E219" s="121" t="s">
        <v>936</v>
      </c>
      <c r="F219" s="122" t="s">
        <v>83</v>
      </c>
      <c r="G219" s="122" t="s">
        <v>161</v>
      </c>
      <c r="H219" s="58">
        <f>IF(F219='Risk Methedology Matrix'!B$26,5,IF(F219='Risk Methedology Matrix'!B$27,4,IF(F219='Risk Methedology Matrix'!B$28,3,IF(F219='Risk Methedology Matrix'!B$29,2,IF(F219='Risk Methedology Matrix'!B$30,1,0)))))</f>
        <v>4</v>
      </c>
      <c r="I219" s="58">
        <f>IF(G219='Risk Methedology Matrix'!G$25,5,IF(G219='Risk Methedology Matrix'!F$25,4,IF(G219='Risk Methedology Matrix'!E$25,3,IF(G219='Risk Methedology Matrix'!D$25,2,IF(G219='Risk Methedology Matrix'!C$25,1,0)))))</f>
        <v>2</v>
      </c>
      <c r="J219" s="58" t="str">
        <f t="shared" si="17"/>
        <v>Medium</v>
      </c>
      <c r="K219" s="169" t="s">
        <v>1205</v>
      </c>
      <c r="L219" s="103" t="s">
        <v>93</v>
      </c>
      <c r="M219" s="58" t="str">
        <f t="shared" si="18"/>
        <v>Medium</v>
      </c>
      <c r="N219" s="26"/>
      <c r="O219" s="26"/>
      <c r="P219" s="26"/>
      <c r="Q219" s="26"/>
      <c r="R219" s="65"/>
      <c r="S219" s="154" t="str">
        <f t="shared" si="10"/>
        <v/>
      </c>
      <c r="U219" s="140"/>
      <c r="V219" s="141"/>
    </row>
    <row r="220" spans="1:22" ht="14.5">
      <c r="A220" s="121" t="s">
        <v>937</v>
      </c>
      <c r="B220" s="121" t="s">
        <v>79</v>
      </c>
      <c r="C220" s="121" t="s">
        <v>931</v>
      </c>
      <c r="D220" s="122" t="s">
        <v>871</v>
      </c>
      <c r="E220" s="121" t="s">
        <v>938</v>
      </c>
      <c r="F220" s="122" t="s">
        <v>165</v>
      </c>
      <c r="G220" s="122" t="s">
        <v>104</v>
      </c>
      <c r="H220" s="58">
        <f>IF(F220='Risk Methedology Matrix'!B$26,5,IF(F220='Risk Methedology Matrix'!B$27,4,IF(F220='Risk Methedology Matrix'!B$28,3,IF(F220='Risk Methedology Matrix'!B$29,2,IF(F220='Risk Methedology Matrix'!B$30,1,0)))))</f>
        <v>1</v>
      </c>
      <c r="I220" s="58">
        <f>IF(G220='Risk Methedology Matrix'!G$25,5,IF(G220='Risk Methedology Matrix'!F$25,4,IF(G220='Risk Methedology Matrix'!E$25,3,IF(G220='Risk Methedology Matrix'!D$25,2,IF(G220='Risk Methedology Matrix'!C$25,1,0)))))</f>
        <v>3</v>
      </c>
      <c r="J220" s="58" t="str">
        <f t="shared" si="17"/>
        <v>Low</v>
      </c>
      <c r="K220" s="169" t="s">
        <v>1206</v>
      </c>
      <c r="L220" s="103" t="s">
        <v>169</v>
      </c>
      <c r="M220" s="58" t="str">
        <f t="shared" si="18"/>
        <v>Very Low</v>
      </c>
      <c r="N220" s="26"/>
      <c r="O220" s="26"/>
      <c r="P220" s="26"/>
      <c r="Q220" s="26"/>
      <c r="R220" s="65"/>
      <c r="S220" s="154" t="str">
        <f t="shared" si="10"/>
        <v/>
      </c>
      <c r="U220" s="140"/>
      <c r="V220" s="141"/>
    </row>
    <row r="221" spans="1:22" ht="14.5">
      <c r="A221" s="121" t="s">
        <v>1421</v>
      </c>
      <c r="B221" s="121" t="s">
        <v>79</v>
      </c>
      <c r="C221" s="121" t="s">
        <v>940</v>
      </c>
      <c r="D221" s="122" t="s">
        <v>871</v>
      </c>
      <c r="E221" s="121" t="s">
        <v>941</v>
      </c>
      <c r="F221" s="122" t="s">
        <v>126</v>
      </c>
      <c r="G221" s="122" t="s">
        <v>161</v>
      </c>
      <c r="H221" s="58">
        <f>IF(F221='Risk Methedology Matrix'!B$26,5,IF(F221='Risk Methedology Matrix'!B$27,4,IF(F221='Risk Methedology Matrix'!B$28,3,IF(F221='Risk Methedology Matrix'!B$29,2,IF(F221='Risk Methedology Matrix'!B$30,1,0)))))</f>
        <v>2</v>
      </c>
      <c r="I221" s="58">
        <f>IF(G221='Risk Methedology Matrix'!G$25,5,IF(G221='Risk Methedology Matrix'!F$25,4,IF(G221='Risk Methedology Matrix'!E$25,3,IF(G221='Risk Methedology Matrix'!D$25,2,IF(G221='Risk Methedology Matrix'!C$25,1,0)))))</f>
        <v>2</v>
      </c>
      <c r="J221" s="58" t="str">
        <f t="shared" si="17"/>
        <v>Low</v>
      </c>
      <c r="K221" s="169" t="s">
        <v>1207</v>
      </c>
      <c r="L221" s="103" t="s">
        <v>85</v>
      </c>
      <c r="M221" s="58" t="str">
        <f t="shared" si="18"/>
        <v>Very Low</v>
      </c>
      <c r="N221" s="26"/>
      <c r="O221" s="26"/>
      <c r="P221" s="26"/>
      <c r="Q221" s="26"/>
      <c r="R221" s="65"/>
      <c r="S221" s="154" t="str">
        <f t="shared" si="10"/>
        <v/>
      </c>
      <c r="U221" s="140"/>
      <c r="V221" s="141"/>
    </row>
    <row r="222" spans="1:22" ht="26">
      <c r="A222" s="121" t="s">
        <v>939</v>
      </c>
      <c r="B222" s="121" t="s">
        <v>79</v>
      </c>
      <c r="C222" s="121" t="s">
        <v>943</v>
      </c>
      <c r="D222" s="122" t="s">
        <v>871</v>
      </c>
      <c r="E222" s="121" t="s">
        <v>944</v>
      </c>
      <c r="F222" s="122" t="s">
        <v>114</v>
      </c>
      <c r="G222" s="122" t="s">
        <v>161</v>
      </c>
      <c r="H222" s="58">
        <f>IF(F222='Risk Methedology Matrix'!B$26,5,IF(F222='Risk Methedology Matrix'!B$27,4,IF(F222='Risk Methedology Matrix'!B$28,3,IF(F222='Risk Methedology Matrix'!B$29,2,IF(F222='Risk Methedology Matrix'!B$30,1,0)))))</f>
        <v>3</v>
      </c>
      <c r="I222" s="58">
        <f>IF(G222='Risk Methedology Matrix'!G$25,5,IF(G222='Risk Methedology Matrix'!F$25,4,IF(G222='Risk Methedology Matrix'!E$25,3,IF(G222='Risk Methedology Matrix'!D$25,2,IF(G222='Risk Methedology Matrix'!C$25,1,0)))))</f>
        <v>2</v>
      </c>
      <c r="J222" s="58" t="str">
        <f t="shared" si="17"/>
        <v>Medium</v>
      </c>
      <c r="K222" s="169" t="s">
        <v>1208</v>
      </c>
      <c r="L222" s="103" t="s">
        <v>169</v>
      </c>
      <c r="M222" s="58" t="str">
        <f t="shared" si="18"/>
        <v>Very Low</v>
      </c>
      <c r="N222" s="26"/>
      <c r="O222" s="26"/>
      <c r="P222" s="26"/>
      <c r="Q222" s="26"/>
      <c r="R222" s="65"/>
      <c r="S222" s="154" t="str">
        <f t="shared" si="10"/>
        <v/>
      </c>
      <c r="U222" s="140"/>
      <c r="V222" s="141"/>
    </row>
    <row r="223" spans="1:22" ht="14.5">
      <c r="A223" s="121" t="s">
        <v>942</v>
      </c>
      <c r="B223" s="121" t="s">
        <v>79</v>
      </c>
      <c r="C223" s="121" t="s">
        <v>946</v>
      </c>
      <c r="D223" s="122" t="s">
        <v>871</v>
      </c>
      <c r="E223" s="121" t="s">
        <v>947</v>
      </c>
      <c r="F223" s="122" t="s">
        <v>83</v>
      </c>
      <c r="G223" s="122" t="s">
        <v>84</v>
      </c>
      <c r="H223" s="58">
        <f>IF(F223='Risk Methedology Matrix'!B$26,5,IF(F223='Risk Methedology Matrix'!B$27,4,IF(F223='Risk Methedology Matrix'!B$28,3,IF(F223='Risk Methedology Matrix'!B$29,2,IF(F223='Risk Methedology Matrix'!B$30,1,0)))))</f>
        <v>4</v>
      </c>
      <c r="I223" s="58">
        <f>IF(G223='Risk Methedology Matrix'!G$25,5,IF(G223='Risk Methedology Matrix'!F$25,4,IF(G223='Risk Methedology Matrix'!E$25,3,IF(G223='Risk Methedology Matrix'!D$25,2,IF(G223='Risk Methedology Matrix'!C$25,1,0)))))</f>
        <v>4</v>
      </c>
      <c r="J223" s="58" t="str">
        <f t="shared" si="17"/>
        <v>High</v>
      </c>
      <c r="K223" s="153" t="s">
        <v>1209</v>
      </c>
      <c r="L223" s="103" t="s">
        <v>169</v>
      </c>
      <c r="M223" s="58" t="str">
        <f t="shared" si="18"/>
        <v>Low</v>
      </c>
      <c r="N223" s="26"/>
      <c r="O223" s="26"/>
      <c r="P223" s="26"/>
      <c r="Q223" s="26"/>
      <c r="R223" s="65"/>
      <c r="S223" s="154" t="str">
        <f t="shared" ref="S223:S256" si="19">IF(OR(L223="",R223=""),"",IF(AND(L223="Very High",R223="Excellent"),"Low",IF(AND(L223="Very High",R223="Good"),"Medium",IF(AND(L223="Very High",R223="Fair"),"High",IF(AND(L223="Very High",R223="Poor"),"Very High",IF(AND(L223="Very High",R223="Unsatisfactory"),"Very High",IF(AND(L223="High",R223="Excellent"),"Low",IF(AND(L223="High",R223="Good"),"Low",IF(AND(L223="High",R223="Fair"),"Medium",IF(AND(L223="High",R223="Poor"),"High",IF(AND(L223="High",R223="Unsatisfactory"),"High",IF(AND(L223="Medium",R223="Excellent"),"Low",IF(AND(L223="Medium",R223="Good"),"Low",IF(AND(L223="Medium",R223="Fair"),"Low",IF(AND(L223="Medium",R223="Poor"),"Medium",IF(AND(L223="Medium",R223="Unsatisfactory"),"Medium",IF(AND(L223="Low",R223="Excellent"),"Very Low",IF(AND(L223="Low",R223="Good"),"Low",IF(AND(L223="Low",R223="Fair"),"Low",IF(AND(L223="Low",R223="Poor"),"Low",IF(AND(L223="Low",R223="Unsatisfactory"),"Low",IF(AND(L223="Very Low",R223="Excellent"),"Very Low",IF(AND(L223="Very Low",R223="Good"),"Very Low",IF(AND(L223="Very Low",R223="Fair"),"Very Low",IF(AND(L223="Very Low",R223="Poor"),"Very Low",IF(AND(L223="Very Low",R223="Unsatisfactory"),"Very Low","Low"))))))))))))))))))))))))))</f>
        <v/>
      </c>
      <c r="U223" s="140"/>
      <c r="V223" s="141"/>
    </row>
    <row r="224" spans="1:22" ht="26">
      <c r="A224" s="121" t="s">
        <v>945</v>
      </c>
      <c r="B224" s="121" t="s">
        <v>79</v>
      </c>
      <c r="C224" s="121" t="s">
        <v>946</v>
      </c>
      <c r="D224" s="122" t="s">
        <v>871</v>
      </c>
      <c r="E224" s="121" t="s">
        <v>949</v>
      </c>
      <c r="F224" s="122" t="s">
        <v>109</v>
      </c>
      <c r="G224" s="122" t="s">
        <v>104</v>
      </c>
      <c r="H224" s="58">
        <f>IF(F224='Risk Methedology Matrix'!B$26,5,IF(F224='Risk Methedology Matrix'!B$27,4,IF(F224='Risk Methedology Matrix'!B$28,3,IF(F224='Risk Methedology Matrix'!B$29,2,IF(F224='Risk Methedology Matrix'!B$30,1,0)))))</f>
        <v>5</v>
      </c>
      <c r="I224" s="58">
        <f>IF(G224='Risk Methedology Matrix'!G$25,5,IF(G224='Risk Methedology Matrix'!F$25,4,IF(G224='Risk Methedology Matrix'!E$25,3,IF(G224='Risk Methedology Matrix'!D$25,2,IF(G224='Risk Methedology Matrix'!C$25,1,0)))))</f>
        <v>3</v>
      </c>
      <c r="J224" s="58" t="str">
        <f t="shared" si="17"/>
        <v>High</v>
      </c>
      <c r="K224" s="153" t="s">
        <v>1210</v>
      </c>
      <c r="L224" s="103" t="s">
        <v>169</v>
      </c>
      <c r="M224" s="58" t="str">
        <f t="shared" si="18"/>
        <v>Low</v>
      </c>
      <c r="N224" s="26"/>
      <c r="O224" s="26"/>
      <c r="P224" s="26"/>
      <c r="Q224" s="26"/>
      <c r="R224" s="65"/>
      <c r="S224" s="154" t="str">
        <f t="shared" si="19"/>
        <v/>
      </c>
      <c r="U224" s="140"/>
      <c r="V224" s="141"/>
    </row>
    <row r="225" spans="1:22" ht="14.5">
      <c r="A225" s="121" t="s">
        <v>948</v>
      </c>
      <c r="B225" s="121" t="s">
        <v>79</v>
      </c>
      <c r="C225" s="121" t="s">
        <v>951</v>
      </c>
      <c r="D225" s="122" t="s">
        <v>871</v>
      </c>
      <c r="E225" s="121" t="s">
        <v>952</v>
      </c>
      <c r="F225" s="122" t="s">
        <v>83</v>
      </c>
      <c r="G225" s="122" t="s">
        <v>161</v>
      </c>
      <c r="H225" s="58">
        <f>IF(F225='Risk Methedology Matrix'!B$26,5,IF(F225='Risk Methedology Matrix'!B$27,4,IF(F225='Risk Methedology Matrix'!B$28,3,IF(F225='Risk Methedology Matrix'!B$29,2,IF(F225='Risk Methedology Matrix'!B$30,1,0)))))</f>
        <v>4</v>
      </c>
      <c r="I225" s="58">
        <f>IF(G225='Risk Methedology Matrix'!G$25,5,IF(G225='Risk Methedology Matrix'!F$25,4,IF(G225='Risk Methedology Matrix'!E$25,3,IF(G225='Risk Methedology Matrix'!D$25,2,IF(G225='Risk Methedology Matrix'!C$25,1,0)))))</f>
        <v>2</v>
      </c>
      <c r="J225" s="58" t="str">
        <f t="shared" si="17"/>
        <v>Medium</v>
      </c>
      <c r="K225" s="169" t="s">
        <v>1211</v>
      </c>
      <c r="L225" s="103" t="s">
        <v>85</v>
      </c>
      <c r="M225" s="58" t="str">
        <f t="shared" si="18"/>
        <v>Low</v>
      </c>
      <c r="N225" s="26"/>
      <c r="O225" s="26"/>
      <c r="P225" s="26"/>
      <c r="Q225" s="26"/>
      <c r="R225" s="65"/>
      <c r="S225" s="154" t="str">
        <f t="shared" si="19"/>
        <v/>
      </c>
      <c r="U225" s="140"/>
      <c r="V225" s="141"/>
    </row>
    <row r="226" spans="1:22" ht="26">
      <c r="A226" s="121" t="s">
        <v>950</v>
      </c>
      <c r="B226" s="121" t="s">
        <v>88</v>
      </c>
      <c r="C226" s="121" t="s">
        <v>954</v>
      </c>
      <c r="D226" s="122" t="s">
        <v>871</v>
      </c>
      <c r="E226" s="121" t="s">
        <v>955</v>
      </c>
      <c r="F226" s="122" t="s">
        <v>114</v>
      </c>
      <c r="G226" s="122" t="s">
        <v>104</v>
      </c>
      <c r="H226" s="58">
        <f>IF(F226='Risk Methedology Matrix'!B$26,5,IF(F226='Risk Methedology Matrix'!B$27,4,IF(F226='Risk Methedology Matrix'!B$28,3,IF(F226='Risk Methedology Matrix'!B$29,2,IF(F226='Risk Methedology Matrix'!B$30,1,0)))))</f>
        <v>3</v>
      </c>
      <c r="I226" s="58">
        <f>IF(G226='Risk Methedology Matrix'!G$25,5,IF(G226='Risk Methedology Matrix'!F$25,4,IF(G226='Risk Methedology Matrix'!E$25,3,IF(G226='Risk Methedology Matrix'!D$25,2,IF(G226='Risk Methedology Matrix'!C$25,1,0)))))</f>
        <v>3</v>
      </c>
      <c r="J226" s="58" t="str">
        <f t="shared" si="17"/>
        <v>Medium</v>
      </c>
      <c r="K226" s="169" t="s">
        <v>1211</v>
      </c>
      <c r="L226" s="103" t="s">
        <v>169</v>
      </c>
      <c r="M226" s="58" t="str">
        <f t="shared" si="18"/>
        <v>Very Low</v>
      </c>
      <c r="N226" s="26"/>
      <c r="O226" s="26"/>
      <c r="P226" s="26"/>
      <c r="Q226" s="26"/>
      <c r="R226" s="65"/>
      <c r="S226" s="154" t="str">
        <f t="shared" si="19"/>
        <v/>
      </c>
      <c r="U226" s="140"/>
      <c r="V226" s="141"/>
    </row>
    <row r="227" spans="1:22" ht="14.5">
      <c r="A227" s="121" t="s">
        <v>953</v>
      </c>
      <c r="B227" s="121" t="s">
        <v>88</v>
      </c>
      <c r="C227" s="121" t="s">
        <v>957</v>
      </c>
      <c r="D227" s="122" t="s">
        <v>871</v>
      </c>
      <c r="E227" s="121" t="s">
        <v>958</v>
      </c>
      <c r="F227" s="122" t="s">
        <v>114</v>
      </c>
      <c r="G227" s="122" t="s">
        <v>161</v>
      </c>
      <c r="H227" s="58">
        <f>IF(F227='Risk Methedology Matrix'!B$26,5,IF(F227='Risk Methedology Matrix'!B$27,4,IF(F227='Risk Methedology Matrix'!B$28,3,IF(F227='Risk Methedology Matrix'!B$29,2,IF(F227='Risk Methedology Matrix'!B$30,1,0)))))</f>
        <v>3</v>
      </c>
      <c r="I227" s="58">
        <f>IF(G227='Risk Methedology Matrix'!G$25,5,IF(G227='Risk Methedology Matrix'!F$25,4,IF(G227='Risk Methedology Matrix'!E$25,3,IF(G227='Risk Methedology Matrix'!D$25,2,IF(G227='Risk Methedology Matrix'!C$25,1,0)))))</f>
        <v>2</v>
      </c>
      <c r="J227" s="58" t="str">
        <f t="shared" si="17"/>
        <v>Medium</v>
      </c>
      <c r="K227" s="169" t="s">
        <v>1212</v>
      </c>
      <c r="L227" s="103" t="s">
        <v>169</v>
      </c>
      <c r="M227" s="58" t="str">
        <f t="shared" si="18"/>
        <v>Very Low</v>
      </c>
      <c r="N227" s="26"/>
      <c r="O227" s="26"/>
      <c r="P227" s="26"/>
      <c r="Q227" s="26"/>
      <c r="R227" s="65"/>
      <c r="S227" s="154" t="str">
        <f t="shared" si="19"/>
        <v/>
      </c>
      <c r="U227" s="140"/>
      <c r="V227" s="141"/>
    </row>
    <row r="228" spans="1:22" ht="26">
      <c r="A228" s="121" t="s">
        <v>956</v>
      </c>
      <c r="B228" s="121" t="s">
        <v>88</v>
      </c>
      <c r="C228" s="121" t="s">
        <v>960</v>
      </c>
      <c r="D228" s="122" t="s">
        <v>871</v>
      </c>
      <c r="E228" s="121" t="s">
        <v>961</v>
      </c>
      <c r="F228" s="122" t="s">
        <v>126</v>
      </c>
      <c r="G228" s="122" t="s">
        <v>104</v>
      </c>
      <c r="H228" s="58">
        <f>IF(F228='Risk Methedology Matrix'!B$26,5,IF(F228='Risk Methedology Matrix'!B$27,4,IF(F228='Risk Methedology Matrix'!B$28,3,IF(F228='Risk Methedology Matrix'!B$29,2,IF(F228='Risk Methedology Matrix'!B$30,1,0)))))</f>
        <v>2</v>
      </c>
      <c r="I228" s="58">
        <f>IF(G228='Risk Methedology Matrix'!G$25,5,IF(G228='Risk Methedology Matrix'!F$25,4,IF(G228='Risk Methedology Matrix'!E$25,3,IF(G228='Risk Methedology Matrix'!D$25,2,IF(G228='Risk Methedology Matrix'!C$25,1,0)))))</f>
        <v>3</v>
      </c>
      <c r="J228" s="58" t="str">
        <f t="shared" si="17"/>
        <v>Medium</v>
      </c>
      <c r="K228" s="169" t="s">
        <v>1213</v>
      </c>
      <c r="L228" s="103" t="s">
        <v>169</v>
      </c>
      <c r="M228" s="58" t="str">
        <f t="shared" si="18"/>
        <v>Very Low</v>
      </c>
      <c r="N228" s="26"/>
      <c r="O228" s="26"/>
      <c r="P228" s="26"/>
      <c r="Q228" s="26"/>
      <c r="R228" s="65"/>
      <c r="S228" s="154" t="str">
        <f t="shared" si="19"/>
        <v/>
      </c>
      <c r="U228" s="140"/>
      <c r="V228" s="141"/>
    </row>
    <row r="229" spans="1:22" ht="26">
      <c r="A229" s="121" t="s">
        <v>959</v>
      </c>
      <c r="B229" s="121" t="s">
        <v>88</v>
      </c>
      <c r="C229" s="121" t="s">
        <v>960</v>
      </c>
      <c r="D229" s="122" t="s">
        <v>871</v>
      </c>
      <c r="E229" s="121" t="s">
        <v>963</v>
      </c>
      <c r="F229" s="122" t="s">
        <v>83</v>
      </c>
      <c r="G229" s="122" t="s">
        <v>84</v>
      </c>
      <c r="H229" s="58">
        <f>IF(F229='Risk Methedology Matrix'!B$26,5,IF(F229='Risk Methedology Matrix'!B$27,4,IF(F229='Risk Methedology Matrix'!B$28,3,IF(F229='Risk Methedology Matrix'!B$29,2,IF(F229='Risk Methedology Matrix'!B$30,1,0)))))</f>
        <v>4</v>
      </c>
      <c r="I229" s="58">
        <f>IF(G229='Risk Methedology Matrix'!G$25,5,IF(G229='Risk Methedology Matrix'!F$25,4,IF(G229='Risk Methedology Matrix'!E$25,3,IF(G229='Risk Methedology Matrix'!D$25,2,IF(G229='Risk Methedology Matrix'!C$25,1,0)))))</f>
        <v>4</v>
      </c>
      <c r="J229" s="58" t="str">
        <f t="shared" si="17"/>
        <v>High</v>
      </c>
      <c r="K229" s="153" t="s">
        <v>977</v>
      </c>
      <c r="L229" s="103" t="s">
        <v>169</v>
      </c>
      <c r="M229" s="58" t="str">
        <f t="shared" si="18"/>
        <v>Low</v>
      </c>
      <c r="N229" s="26"/>
      <c r="O229" s="26"/>
      <c r="P229" s="26"/>
      <c r="Q229" s="26"/>
      <c r="R229" s="65"/>
      <c r="S229" s="154" t="str">
        <f t="shared" si="19"/>
        <v/>
      </c>
      <c r="U229" s="140"/>
      <c r="V229" s="141"/>
    </row>
    <row r="230" spans="1:22" ht="14.5">
      <c r="A230" s="121" t="s">
        <v>962</v>
      </c>
      <c r="B230" s="121" t="s">
        <v>88</v>
      </c>
      <c r="C230" s="121" t="s">
        <v>965</v>
      </c>
      <c r="D230" s="122" t="s">
        <v>871</v>
      </c>
      <c r="E230" s="121" t="s">
        <v>966</v>
      </c>
      <c r="F230" s="122" t="s">
        <v>126</v>
      </c>
      <c r="G230" s="196" t="s">
        <v>161</v>
      </c>
      <c r="H230" s="102">
        <f>IF(F230='Risk Methedology Matrix'!B$26,5,IF(F230='Risk Methedology Matrix'!B$27,4,IF(F230='Risk Methedology Matrix'!B$28,3,IF(F230='Risk Methedology Matrix'!B$29,2,IF(F230='Risk Methedology Matrix'!B$30,1,0)))))</f>
        <v>2</v>
      </c>
      <c r="I230" s="102">
        <f>IF(G230='Risk Methedology Matrix'!G$25,5,IF(G230='Risk Methedology Matrix'!F$25,4,IF(G230='Risk Methedology Matrix'!E$25,3,IF(G230='Risk Methedology Matrix'!D$25,2,IF(G230='Risk Methedology Matrix'!C$25,1,0)))))</f>
        <v>2</v>
      </c>
      <c r="J230" s="102" t="str">
        <f t="shared" si="17"/>
        <v>Low</v>
      </c>
      <c r="K230" s="197" t="s">
        <v>1214</v>
      </c>
      <c r="L230" s="103" t="s">
        <v>169</v>
      </c>
      <c r="M230" s="58" t="str">
        <f t="shared" si="18"/>
        <v>Very Low</v>
      </c>
      <c r="N230" s="128"/>
      <c r="O230" s="128"/>
      <c r="P230" s="128"/>
      <c r="Q230" s="128"/>
      <c r="R230" s="174"/>
      <c r="S230" s="175" t="str">
        <f t="shared" si="19"/>
        <v/>
      </c>
      <c r="U230" s="138"/>
      <c r="V230" s="141"/>
    </row>
    <row r="231" spans="1:22" ht="40">
      <c r="A231" s="195" t="s">
        <v>964</v>
      </c>
      <c r="B231" s="195" t="s">
        <v>88</v>
      </c>
      <c r="C231" s="195" t="s">
        <v>1403</v>
      </c>
      <c r="D231" s="306" t="s">
        <v>871</v>
      </c>
      <c r="E231" s="195" t="s">
        <v>1412</v>
      </c>
      <c r="F231" s="122" t="s">
        <v>114</v>
      </c>
      <c r="G231" s="122" t="s">
        <v>104</v>
      </c>
      <c r="H231" s="58">
        <f>IF(F231='Risk Methedology Matrix'!B$26,5,IF(F231='Risk Methedology Matrix'!B$27,4,IF(F231='Risk Methedology Matrix'!B$28,3,IF(F231='Risk Methedology Matrix'!B$29,2,IF(F231='Risk Methedology Matrix'!B$30,1,0)))))</f>
        <v>3</v>
      </c>
      <c r="I231" s="58">
        <f>IF(G231='Risk Methedology Matrix'!G$25,5,IF(G231='Risk Methedology Matrix'!F$25,4,IF(G231='Risk Methedology Matrix'!E$25,3,IF(G231='Risk Methedology Matrix'!D$25,2,IF(G231='Risk Methedology Matrix'!C$25,1,0)))))</f>
        <v>3</v>
      </c>
      <c r="J231" s="58" t="str">
        <f t="shared" ref="J231" si="20">IF(OR(F231="",G231=""),"",IF(H231*I231&gt;=20,"Very High",IF(AND(H231*I231&lt;20,H231*I231&gt;=11),"High",IF(AND(H231*I231&lt;11,H231*I231&gt;=6),"Medium",IF(AND(H231*I231&lt;6,H231*I231&gt;=3),"Low",IF(AND(H231*I231&lt;3,H231*I231&gt;=1),"Very Low",""))))))</f>
        <v>Medium</v>
      </c>
      <c r="K231" s="251" t="s">
        <v>1525</v>
      </c>
      <c r="L231" s="47" t="s">
        <v>85</v>
      </c>
      <c r="M231" s="58" t="str">
        <f t="shared" si="18"/>
        <v>Low</v>
      </c>
      <c r="N231" s="26"/>
      <c r="O231" s="26"/>
      <c r="P231" s="26"/>
      <c r="Q231" s="26"/>
      <c r="R231" s="65"/>
      <c r="S231" s="206"/>
      <c r="T231" s="26"/>
      <c r="U231" s="207"/>
      <c r="V231" s="194"/>
    </row>
    <row r="232" spans="1:22" ht="50">
      <c r="A232" s="195" t="s">
        <v>1396</v>
      </c>
      <c r="B232" s="195" t="s">
        <v>88</v>
      </c>
      <c r="C232" s="195" t="s">
        <v>1404</v>
      </c>
      <c r="D232" s="306" t="s">
        <v>871</v>
      </c>
      <c r="E232" s="195" t="s">
        <v>1413</v>
      </c>
      <c r="F232" s="122" t="s">
        <v>114</v>
      </c>
      <c r="G232" s="122" t="s">
        <v>84</v>
      </c>
      <c r="H232" s="58">
        <f>IF(F232='Risk Methedology Matrix'!B$26,5,IF(F232='Risk Methedology Matrix'!B$27,4,IF(F232='Risk Methedology Matrix'!B$28,3,IF(F232='Risk Methedology Matrix'!B$29,2,IF(F232='Risk Methedology Matrix'!B$30,1,0)))))</f>
        <v>3</v>
      </c>
      <c r="I232" s="58">
        <f>IF(G232='Risk Methedology Matrix'!G$25,5,IF(G232='Risk Methedology Matrix'!F$25,4,IF(G232='Risk Methedology Matrix'!E$25,3,IF(G232='Risk Methedology Matrix'!D$25,2,IF(G232='Risk Methedology Matrix'!C$25,1,0)))))</f>
        <v>4</v>
      </c>
      <c r="J232" s="58" t="str">
        <f t="shared" ref="J232:J233" si="21">IF(OR(F232="",G232=""),"",IF(H232*I232&gt;=20,"Very High",IF(AND(H232*I232&lt;20,H232*I232&gt;=11),"High",IF(AND(H232*I232&lt;11,H232*I232&gt;=6),"Medium",IF(AND(H232*I232&lt;6,H232*I232&gt;=3),"Low",IF(AND(H232*I232&lt;3,H232*I232&gt;=1),"Very Low",""))))))</f>
        <v>High</v>
      </c>
      <c r="K232" s="251" t="s">
        <v>1526</v>
      </c>
      <c r="L232" s="47" t="s">
        <v>85</v>
      </c>
      <c r="M232" s="58" t="str">
        <f t="shared" si="18"/>
        <v>Medium</v>
      </c>
      <c r="N232" s="26"/>
      <c r="O232" s="26"/>
      <c r="P232" s="26"/>
      <c r="Q232" s="26"/>
      <c r="R232" s="65"/>
      <c r="S232" s="206"/>
      <c r="T232" s="26"/>
      <c r="U232" s="207"/>
      <c r="V232" s="194"/>
    </row>
    <row r="233" spans="1:22" ht="40">
      <c r="A233" s="195" t="s">
        <v>1397</v>
      </c>
      <c r="B233" s="195" t="s">
        <v>88</v>
      </c>
      <c r="C233" s="195" t="s">
        <v>1405</v>
      </c>
      <c r="D233" s="306" t="s">
        <v>871</v>
      </c>
      <c r="E233" s="195" t="s">
        <v>1414</v>
      </c>
      <c r="F233" s="122" t="s">
        <v>114</v>
      </c>
      <c r="G233" s="122" t="s">
        <v>104</v>
      </c>
      <c r="H233" s="58">
        <f>IF(F233='Risk Methedology Matrix'!B$26,5,IF(F233='Risk Methedology Matrix'!B$27,4,IF(F233='Risk Methedology Matrix'!B$28,3,IF(F233='Risk Methedology Matrix'!B$29,2,IF(F233='Risk Methedology Matrix'!B$30,1,0)))))</f>
        <v>3</v>
      </c>
      <c r="I233" s="58">
        <f>IF(G233='Risk Methedology Matrix'!G$25,5,IF(G233='Risk Methedology Matrix'!F$25,4,IF(G233='Risk Methedology Matrix'!E$25,3,IF(G233='Risk Methedology Matrix'!D$25,2,IF(G233='Risk Methedology Matrix'!C$25,1,0)))))</f>
        <v>3</v>
      </c>
      <c r="J233" s="58" t="str">
        <f t="shared" si="21"/>
        <v>Medium</v>
      </c>
      <c r="K233" s="251" t="s">
        <v>1527</v>
      </c>
      <c r="L233" s="47" t="s">
        <v>85</v>
      </c>
      <c r="M233" s="58" t="str">
        <f t="shared" si="18"/>
        <v>Low</v>
      </c>
      <c r="N233" s="26"/>
      <c r="O233" s="26"/>
      <c r="P233" s="26"/>
      <c r="Q233" s="26"/>
      <c r="R233" s="65"/>
      <c r="S233" s="206"/>
      <c r="T233" s="26"/>
      <c r="U233" s="207"/>
      <c r="V233" s="194"/>
    </row>
    <row r="234" spans="1:22" ht="20">
      <c r="A234" s="195" t="s">
        <v>1398</v>
      </c>
      <c r="B234" s="195" t="s">
        <v>88</v>
      </c>
      <c r="C234" s="195" t="s">
        <v>1406</v>
      </c>
      <c r="D234" s="306" t="s">
        <v>871</v>
      </c>
      <c r="E234" s="195" t="s">
        <v>1415</v>
      </c>
      <c r="F234" s="122" t="s">
        <v>83</v>
      </c>
      <c r="G234" s="122" t="s">
        <v>84</v>
      </c>
      <c r="H234" s="58">
        <f>IF(F234='Risk Methedology Matrix'!B$26,5,IF(F234='Risk Methedology Matrix'!B$27,4,IF(F234='Risk Methedology Matrix'!B$28,3,IF(F234='Risk Methedology Matrix'!B$29,2,IF(F234='Risk Methedology Matrix'!B$30,1,0)))))</f>
        <v>4</v>
      </c>
      <c r="I234" s="58">
        <f>IF(G234='Risk Methedology Matrix'!G$25,5,IF(G234='Risk Methedology Matrix'!F$25,4,IF(G234='Risk Methedology Matrix'!E$25,3,IF(G234='Risk Methedology Matrix'!D$25,2,IF(G234='Risk Methedology Matrix'!C$25,1,0)))))</f>
        <v>4</v>
      </c>
      <c r="J234" s="58" t="str">
        <f t="shared" ref="J234" si="22">IF(OR(F234="",G234=""),"",IF(H234*I234&gt;=20,"Very High",IF(AND(H234*I234&lt;20,H234*I234&gt;=11),"High",IF(AND(H234*I234&lt;11,H234*I234&gt;=6),"Medium",IF(AND(H234*I234&lt;6,H234*I234&gt;=3),"Low",IF(AND(H234*I234&lt;3,H234*I234&gt;=1),"Very Low",""))))))</f>
        <v>High</v>
      </c>
      <c r="K234" s="252" t="s">
        <v>1420</v>
      </c>
      <c r="L234" s="47" t="s">
        <v>98</v>
      </c>
      <c r="M234" s="58" t="str">
        <f t="shared" si="18"/>
        <v>Very Low</v>
      </c>
      <c r="N234" s="26"/>
      <c r="O234" s="26"/>
      <c r="P234" s="26"/>
      <c r="Q234" s="26"/>
      <c r="R234" s="65"/>
      <c r="S234" s="206"/>
      <c r="T234" s="26"/>
      <c r="U234" s="207"/>
      <c r="V234" s="194"/>
    </row>
    <row r="235" spans="1:22" ht="26">
      <c r="A235" s="195" t="s">
        <v>1399</v>
      </c>
      <c r="B235" s="195" t="s">
        <v>88</v>
      </c>
      <c r="C235" s="195" t="s">
        <v>1407</v>
      </c>
      <c r="D235" s="306" t="s">
        <v>1411</v>
      </c>
      <c r="E235" s="195" t="s">
        <v>1416</v>
      </c>
      <c r="F235" s="122" t="s">
        <v>114</v>
      </c>
      <c r="G235" s="122" t="s">
        <v>84</v>
      </c>
      <c r="H235" s="58">
        <f>IF(F235='Risk Methedology Matrix'!B$26,5,IF(F235='Risk Methedology Matrix'!B$27,4,IF(F235='Risk Methedology Matrix'!B$28,3,IF(F235='Risk Methedology Matrix'!B$29,2,IF(F235='Risk Methedology Matrix'!B$30,1,0)))))</f>
        <v>3</v>
      </c>
      <c r="I235" s="58">
        <f>IF(G235='Risk Methedology Matrix'!G$25,5,IF(G235='Risk Methedology Matrix'!F$25,4,IF(G235='Risk Methedology Matrix'!E$25,3,IF(G235='Risk Methedology Matrix'!D$25,2,IF(G235='Risk Methedology Matrix'!C$25,1,0)))))</f>
        <v>4</v>
      </c>
      <c r="J235" s="58" t="str">
        <f t="shared" ref="J235" si="23">IF(OR(F235="",G235=""),"",IF(H235*I235&gt;=20,"Very High",IF(AND(H235*I235&lt;20,H235*I235&gt;=11),"High",IF(AND(H235*I235&lt;11,H235*I235&gt;=6),"Medium",IF(AND(H235*I235&lt;6,H235*I235&gt;=3),"Low",IF(AND(H235*I235&lt;3,H235*I235&gt;=1),"Very Low",""))))))</f>
        <v>High</v>
      </c>
      <c r="K235" s="251" t="s">
        <v>1528</v>
      </c>
      <c r="L235" s="47" t="s">
        <v>85</v>
      </c>
      <c r="M235" s="58" t="str">
        <f t="shared" si="18"/>
        <v>Medium</v>
      </c>
      <c r="N235" s="26"/>
      <c r="O235" s="26"/>
      <c r="P235" s="26"/>
      <c r="Q235" s="26"/>
      <c r="R235" s="65"/>
      <c r="S235" s="206"/>
      <c r="T235" s="26"/>
      <c r="U235" s="207"/>
      <c r="V235" s="194"/>
    </row>
    <row r="236" spans="1:22" ht="30">
      <c r="A236" s="195" t="s">
        <v>1400</v>
      </c>
      <c r="B236" s="195" t="s">
        <v>88</v>
      </c>
      <c r="C236" s="195" t="s">
        <v>1408</v>
      </c>
      <c r="D236" s="306" t="s">
        <v>871</v>
      </c>
      <c r="E236" s="195" t="s">
        <v>1417</v>
      </c>
      <c r="F236" s="122" t="s">
        <v>83</v>
      </c>
      <c r="G236" s="122" t="s">
        <v>104</v>
      </c>
      <c r="H236" s="58">
        <f>IF(F236='Risk Methedology Matrix'!B$26,5,IF(F236='Risk Methedology Matrix'!B$27,4,IF(F236='Risk Methedology Matrix'!B$28,3,IF(F236='Risk Methedology Matrix'!B$29,2,IF(F236='Risk Methedology Matrix'!B$30,1,0)))))</f>
        <v>4</v>
      </c>
      <c r="I236" s="58">
        <f>IF(G236='Risk Methedology Matrix'!G$25,5,IF(G236='Risk Methedology Matrix'!F$25,4,IF(G236='Risk Methedology Matrix'!E$25,3,IF(G236='Risk Methedology Matrix'!D$25,2,IF(G236='Risk Methedology Matrix'!C$25,1,0)))))</f>
        <v>3</v>
      </c>
      <c r="J236" s="58" t="str">
        <f t="shared" ref="J236" si="24">IF(OR(F236="",G236=""),"",IF(H236*I236&gt;=20,"Very High",IF(AND(H236*I236&lt;20,H236*I236&gt;=11),"High",IF(AND(H236*I236&lt;11,H236*I236&gt;=6),"Medium",IF(AND(H236*I236&lt;6,H236*I236&gt;=3),"Low",IF(AND(H236*I236&lt;3,H236*I236&gt;=1),"Very Low",""))))))</f>
        <v>High</v>
      </c>
      <c r="K236" s="251" t="s">
        <v>1529</v>
      </c>
      <c r="L236" s="47" t="s">
        <v>85</v>
      </c>
      <c r="M236" s="58" t="str">
        <f t="shared" si="18"/>
        <v>Medium</v>
      </c>
      <c r="N236" s="26"/>
      <c r="O236" s="26"/>
      <c r="P236" s="26"/>
      <c r="Q236" s="26"/>
      <c r="R236" s="65"/>
      <c r="S236" s="206"/>
      <c r="T236" s="26"/>
      <c r="U236" s="207"/>
      <c r="V236" s="194"/>
    </row>
    <row r="237" spans="1:22" ht="30">
      <c r="A237" s="195" t="s">
        <v>1401</v>
      </c>
      <c r="B237" s="195" t="s">
        <v>88</v>
      </c>
      <c r="C237" s="195" t="s">
        <v>1409</v>
      </c>
      <c r="D237" s="306" t="s">
        <v>871</v>
      </c>
      <c r="E237" s="195" t="s">
        <v>1418</v>
      </c>
      <c r="F237" s="122" t="s">
        <v>83</v>
      </c>
      <c r="G237" s="122" t="s">
        <v>104</v>
      </c>
      <c r="H237" s="58">
        <f>IF(F237='Risk Methedology Matrix'!B$26,5,IF(F237='Risk Methedology Matrix'!B$27,4,IF(F237='Risk Methedology Matrix'!B$28,3,IF(F237='Risk Methedology Matrix'!B$29,2,IF(F237='Risk Methedology Matrix'!B$30,1,0)))))</f>
        <v>4</v>
      </c>
      <c r="I237" s="58">
        <f>IF(G237='Risk Methedology Matrix'!G$25,5,IF(G237='Risk Methedology Matrix'!F$25,4,IF(G237='Risk Methedology Matrix'!E$25,3,IF(G237='Risk Methedology Matrix'!D$25,2,IF(G237='Risk Methedology Matrix'!C$25,1,0)))))</f>
        <v>3</v>
      </c>
      <c r="J237" s="58" t="str">
        <f t="shared" ref="J237:J238" si="25">IF(OR(F237="",G237=""),"",IF(H237*I237&gt;=20,"Very High",IF(AND(H237*I237&lt;20,H237*I237&gt;=11),"High",IF(AND(H237*I237&lt;11,H237*I237&gt;=6),"Medium",IF(AND(H237*I237&lt;6,H237*I237&gt;=3),"Low",IF(AND(H237*I237&lt;3,H237*I237&gt;=1),"Very Low",""))))))</f>
        <v>High</v>
      </c>
      <c r="K237" s="251" t="s">
        <v>1530</v>
      </c>
      <c r="L237" s="47" t="s">
        <v>85</v>
      </c>
      <c r="M237" s="58" t="str">
        <f t="shared" si="18"/>
        <v>Medium</v>
      </c>
      <c r="N237" s="26"/>
      <c r="O237" s="26"/>
      <c r="P237" s="26"/>
      <c r="Q237" s="26"/>
      <c r="R237" s="65"/>
      <c r="S237" s="206"/>
      <c r="T237" s="26"/>
      <c r="U237" s="207"/>
      <c r="V237" s="194"/>
    </row>
    <row r="238" spans="1:22" ht="39">
      <c r="A238" s="195" t="s">
        <v>1402</v>
      </c>
      <c r="B238" s="195" t="s">
        <v>88</v>
      </c>
      <c r="C238" s="195" t="s">
        <v>1410</v>
      </c>
      <c r="D238" s="306" t="s">
        <v>871</v>
      </c>
      <c r="E238" s="195" t="s">
        <v>1419</v>
      </c>
      <c r="F238" s="122" t="s">
        <v>83</v>
      </c>
      <c r="G238" s="122" t="s">
        <v>104</v>
      </c>
      <c r="H238" s="58">
        <f>IF(F238='Risk Methedology Matrix'!B$26,5,IF(F238='Risk Methedology Matrix'!B$27,4,IF(F238='Risk Methedology Matrix'!B$28,3,IF(F238='Risk Methedology Matrix'!B$29,2,IF(F238='Risk Methedology Matrix'!B$30,1,0)))))</f>
        <v>4</v>
      </c>
      <c r="I238" s="58">
        <f>IF(G238='Risk Methedology Matrix'!G$25,5,IF(G238='Risk Methedology Matrix'!F$25,4,IF(G238='Risk Methedology Matrix'!E$25,3,IF(G238='Risk Methedology Matrix'!D$25,2,IF(G238='Risk Methedology Matrix'!C$25,1,0)))))</f>
        <v>3</v>
      </c>
      <c r="J238" s="58" t="str">
        <f t="shared" si="25"/>
        <v>High</v>
      </c>
      <c r="K238" s="251" t="s">
        <v>1531</v>
      </c>
      <c r="L238" s="47" t="s">
        <v>85</v>
      </c>
      <c r="M238" s="58" t="str">
        <f t="shared" si="18"/>
        <v>Medium</v>
      </c>
      <c r="N238" s="26"/>
      <c r="O238" s="26"/>
      <c r="P238" s="26"/>
      <c r="Q238" s="26"/>
      <c r="R238" s="65"/>
      <c r="S238" s="206"/>
      <c r="T238" s="26"/>
      <c r="U238" s="207"/>
      <c r="V238" s="194"/>
    </row>
    <row r="239" spans="1:22" ht="293">
      <c r="A239" s="278" t="s">
        <v>983</v>
      </c>
      <c r="B239" s="279" t="s">
        <v>984</v>
      </c>
      <c r="C239" s="279" t="s">
        <v>985</v>
      </c>
      <c r="D239" s="279" t="s">
        <v>986</v>
      </c>
      <c r="E239" s="279" t="s">
        <v>987</v>
      </c>
      <c r="F239" s="124" t="s">
        <v>83</v>
      </c>
      <c r="G239" s="198" t="s">
        <v>92</v>
      </c>
      <c r="J239" s="192" t="s">
        <v>157</v>
      </c>
      <c r="K239" s="199" t="s">
        <v>1131</v>
      </c>
      <c r="L239" s="200" t="s">
        <v>98</v>
      </c>
      <c r="M239" s="58" t="str">
        <f t="shared" si="18"/>
        <v>Low</v>
      </c>
      <c r="N239" s="198"/>
      <c r="O239" s="201"/>
      <c r="P239" s="202"/>
      <c r="Q239" s="203"/>
      <c r="R239" s="204"/>
      <c r="S239" s="205"/>
      <c r="U239" s="140"/>
      <c r="V239" s="155"/>
    </row>
    <row r="240" spans="1:22" ht="36">
      <c r="A240" s="278" t="s">
        <v>988</v>
      </c>
      <c r="B240" s="279" t="s">
        <v>989</v>
      </c>
      <c r="C240" s="279" t="s">
        <v>990</v>
      </c>
      <c r="D240" s="279" t="s">
        <v>991</v>
      </c>
      <c r="E240" s="279" t="s">
        <v>992</v>
      </c>
      <c r="F240" s="124" t="s">
        <v>83</v>
      </c>
      <c r="G240" s="125" t="s">
        <v>92</v>
      </c>
      <c r="J240" s="58" t="s">
        <v>157</v>
      </c>
      <c r="K240" s="130" t="s">
        <v>1132</v>
      </c>
      <c r="L240" s="103" t="s">
        <v>98</v>
      </c>
      <c r="M240" s="58" t="str">
        <f t="shared" si="18"/>
        <v>Low</v>
      </c>
      <c r="N240" s="125"/>
      <c r="O240" s="130"/>
      <c r="P240" s="26"/>
      <c r="Q240" s="156"/>
      <c r="R240" s="65"/>
      <c r="S240" s="154"/>
      <c r="U240" s="140"/>
      <c r="V240" s="155"/>
    </row>
    <row r="241" spans="1:22" ht="72">
      <c r="A241" s="278" t="s">
        <v>993</v>
      </c>
      <c r="B241" s="279" t="s">
        <v>994</v>
      </c>
      <c r="C241" s="279" t="s">
        <v>990</v>
      </c>
      <c r="D241" s="279" t="s">
        <v>991</v>
      </c>
      <c r="E241" s="279" t="s">
        <v>995</v>
      </c>
      <c r="F241" s="124" t="s">
        <v>83</v>
      </c>
      <c r="G241" s="125" t="s">
        <v>92</v>
      </c>
      <c r="J241" s="58" t="s">
        <v>157</v>
      </c>
      <c r="K241" s="130" t="s">
        <v>1133</v>
      </c>
      <c r="L241" s="103" t="s">
        <v>98</v>
      </c>
      <c r="M241" s="58" t="str">
        <f t="shared" si="18"/>
        <v>Low</v>
      </c>
      <c r="N241" s="159"/>
      <c r="O241" s="130"/>
      <c r="P241" s="26"/>
      <c r="Q241" s="156"/>
      <c r="R241" s="65"/>
      <c r="S241" s="154"/>
      <c r="U241" s="140"/>
      <c r="V241" s="155"/>
    </row>
    <row r="242" spans="1:22" ht="108">
      <c r="A242" s="278" t="s">
        <v>996</v>
      </c>
      <c r="B242" s="279" t="s">
        <v>997</v>
      </c>
      <c r="C242" s="279" t="s">
        <v>990</v>
      </c>
      <c r="D242" s="279" t="s">
        <v>991</v>
      </c>
      <c r="E242" s="279" t="s">
        <v>998</v>
      </c>
      <c r="F242" s="124" t="s">
        <v>83</v>
      </c>
      <c r="G242" s="125" t="s">
        <v>104</v>
      </c>
      <c r="J242" s="58" t="s">
        <v>120</v>
      </c>
      <c r="K242" s="130" t="s">
        <v>1134</v>
      </c>
      <c r="L242" s="103" t="s">
        <v>98</v>
      </c>
      <c r="M242" s="58" t="str">
        <f t="shared" si="18"/>
        <v>Very Low</v>
      </c>
      <c r="N242" s="125"/>
      <c r="O242" s="130"/>
      <c r="P242" s="26"/>
      <c r="Q242" s="156"/>
      <c r="R242" s="65"/>
      <c r="S242" s="154"/>
      <c r="U242" s="140"/>
      <c r="V242" s="155"/>
    </row>
    <row r="243" spans="1:22" ht="90">
      <c r="A243" s="278" t="s">
        <v>999</v>
      </c>
      <c r="B243" s="279" t="s">
        <v>1000</v>
      </c>
      <c r="C243" s="279" t="s">
        <v>990</v>
      </c>
      <c r="D243" s="279" t="s">
        <v>991</v>
      </c>
      <c r="E243" s="279" t="s">
        <v>1001</v>
      </c>
      <c r="F243" s="124" t="s">
        <v>109</v>
      </c>
      <c r="G243" s="125" t="s">
        <v>84</v>
      </c>
      <c r="J243" s="58" t="s">
        <v>157</v>
      </c>
      <c r="K243" s="130" t="s">
        <v>1135</v>
      </c>
      <c r="L243" s="103" t="s">
        <v>98</v>
      </c>
      <c r="M243" s="58" t="str">
        <f t="shared" si="18"/>
        <v>Low</v>
      </c>
      <c r="N243" s="160"/>
      <c r="O243" s="130"/>
      <c r="P243" s="26"/>
      <c r="Q243" s="157"/>
      <c r="R243" s="65"/>
      <c r="S243" s="154"/>
      <c r="U243" s="140"/>
      <c r="V243" s="167"/>
    </row>
    <row r="244" spans="1:22" ht="60">
      <c r="A244" s="278" t="s">
        <v>1002</v>
      </c>
      <c r="B244" s="279" t="s">
        <v>1003</v>
      </c>
      <c r="C244" s="279" t="s">
        <v>990</v>
      </c>
      <c r="D244" s="279" t="s">
        <v>991</v>
      </c>
      <c r="E244" s="279" t="s">
        <v>1004</v>
      </c>
      <c r="F244" s="124" t="s">
        <v>114</v>
      </c>
      <c r="G244" s="125" t="s">
        <v>92</v>
      </c>
      <c r="J244" s="58" t="s">
        <v>120</v>
      </c>
      <c r="K244" s="130" t="s">
        <v>1136</v>
      </c>
      <c r="L244" s="103" t="s">
        <v>98</v>
      </c>
      <c r="M244" s="58" t="str">
        <f t="shared" si="18"/>
        <v>Very Low</v>
      </c>
      <c r="N244" s="125"/>
      <c r="O244" s="130"/>
      <c r="P244" s="26"/>
      <c r="Q244" s="156"/>
      <c r="R244" s="65"/>
      <c r="S244" s="154"/>
      <c r="U244" s="140"/>
      <c r="V244" s="155"/>
    </row>
    <row r="245" spans="1:22" ht="60">
      <c r="A245" s="278" t="s">
        <v>1005</v>
      </c>
      <c r="B245" s="279" t="s">
        <v>1006</v>
      </c>
      <c r="C245" s="279" t="s">
        <v>985</v>
      </c>
      <c r="D245" s="279" t="s">
        <v>986</v>
      </c>
      <c r="E245" s="279" t="s">
        <v>1007</v>
      </c>
      <c r="F245" s="124" t="s">
        <v>114</v>
      </c>
      <c r="G245" s="125" t="s">
        <v>104</v>
      </c>
      <c r="J245" s="58" t="s">
        <v>163</v>
      </c>
      <c r="K245" s="130" t="s">
        <v>1137</v>
      </c>
      <c r="L245" s="103" t="s">
        <v>98</v>
      </c>
      <c r="M245" s="58" t="str">
        <f t="shared" si="18"/>
        <v>Very Low</v>
      </c>
      <c r="N245" s="125"/>
      <c r="O245" s="130"/>
      <c r="P245" s="26"/>
      <c r="Q245" s="156"/>
      <c r="R245" s="65"/>
      <c r="S245" s="154"/>
      <c r="U245" s="140"/>
      <c r="V245" s="155"/>
    </row>
    <row r="246" spans="1:22" ht="72">
      <c r="A246" s="278" t="s">
        <v>1008</v>
      </c>
      <c r="B246" s="279" t="s">
        <v>1009</v>
      </c>
      <c r="C246" s="279" t="s">
        <v>1010</v>
      </c>
      <c r="D246" s="278" t="s">
        <v>1011</v>
      </c>
      <c r="E246" s="279" t="s">
        <v>1012</v>
      </c>
      <c r="F246" s="124" t="s">
        <v>126</v>
      </c>
      <c r="G246" s="125" t="s">
        <v>104</v>
      </c>
      <c r="J246" s="58" t="s">
        <v>163</v>
      </c>
      <c r="K246" s="130" t="s">
        <v>1138</v>
      </c>
      <c r="L246" s="103" t="s">
        <v>85</v>
      </c>
      <c r="M246" s="58" t="str">
        <f t="shared" si="18"/>
        <v>Low</v>
      </c>
      <c r="N246" s="125"/>
      <c r="O246" s="130"/>
      <c r="P246" s="26"/>
      <c r="Q246" s="156"/>
      <c r="R246" s="65"/>
      <c r="S246" s="154"/>
      <c r="U246" s="140"/>
      <c r="V246" s="155"/>
    </row>
    <row r="247" spans="1:22" ht="72">
      <c r="A247" s="278" t="s">
        <v>1013</v>
      </c>
      <c r="B247" s="279" t="s">
        <v>1014</v>
      </c>
      <c r="C247" s="279" t="s">
        <v>990</v>
      </c>
      <c r="D247" s="279" t="s">
        <v>991</v>
      </c>
      <c r="E247" s="279" t="s">
        <v>1015</v>
      </c>
      <c r="F247" s="124" t="s">
        <v>126</v>
      </c>
      <c r="G247" s="125" t="s">
        <v>104</v>
      </c>
      <c r="J247" s="58" t="s">
        <v>163</v>
      </c>
      <c r="K247" s="130" t="s">
        <v>1139</v>
      </c>
      <c r="L247" s="103" t="s">
        <v>98</v>
      </c>
      <c r="M247" s="58" t="str">
        <f t="shared" si="18"/>
        <v>Very Low</v>
      </c>
      <c r="N247" s="125"/>
      <c r="O247" s="130"/>
      <c r="P247" s="26"/>
      <c r="Q247" s="156"/>
      <c r="R247" s="65"/>
      <c r="S247" s="154"/>
      <c r="U247" s="140"/>
      <c r="V247" s="155"/>
    </row>
    <row r="248" spans="1:22" ht="72">
      <c r="A248" s="278" t="s">
        <v>1016</v>
      </c>
      <c r="B248" s="279" t="s">
        <v>1017</v>
      </c>
      <c r="C248" s="278" t="s">
        <v>1010</v>
      </c>
      <c r="D248" s="278" t="s">
        <v>1011</v>
      </c>
      <c r="E248" s="279" t="s">
        <v>1018</v>
      </c>
      <c r="F248" s="124" t="s">
        <v>126</v>
      </c>
      <c r="G248" s="125" t="s">
        <v>104</v>
      </c>
      <c r="J248" s="58" t="s">
        <v>163</v>
      </c>
      <c r="K248" s="130" t="s">
        <v>1140</v>
      </c>
      <c r="L248" s="103" t="s">
        <v>169</v>
      </c>
      <c r="M248" s="58" t="str">
        <f t="shared" si="18"/>
        <v>Very Low</v>
      </c>
      <c r="N248" s="125"/>
      <c r="O248" s="162"/>
      <c r="P248" s="26"/>
      <c r="Q248" s="155"/>
      <c r="R248" s="65"/>
      <c r="S248" s="154"/>
      <c r="U248" s="140"/>
      <c r="V248" s="155"/>
    </row>
    <row r="249" spans="1:22" ht="36">
      <c r="A249" s="278" t="s">
        <v>1019</v>
      </c>
      <c r="B249" s="279" t="s">
        <v>1020</v>
      </c>
      <c r="C249" s="279" t="s">
        <v>990</v>
      </c>
      <c r="D249" s="279" t="s">
        <v>991</v>
      </c>
      <c r="E249" s="279" t="s">
        <v>1021</v>
      </c>
      <c r="F249" s="124" t="s">
        <v>109</v>
      </c>
      <c r="G249" s="125" t="s">
        <v>84</v>
      </c>
      <c r="J249" s="58" t="s">
        <v>157</v>
      </c>
      <c r="K249" s="130" t="s">
        <v>1141</v>
      </c>
      <c r="L249" s="103" t="s">
        <v>98</v>
      </c>
      <c r="M249" s="58" t="str">
        <f t="shared" si="18"/>
        <v>Low</v>
      </c>
      <c r="N249" s="160"/>
      <c r="O249" s="130"/>
      <c r="P249" s="26"/>
      <c r="Q249" s="157"/>
      <c r="R249" s="65"/>
      <c r="S249" s="154"/>
      <c r="U249" s="140"/>
      <c r="V249" s="155"/>
    </row>
    <row r="250" spans="1:22" ht="293">
      <c r="A250" s="278" t="s">
        <v>1022</v>
      </c>
      <c r="B250" s="279" t="s">
        <v>1023</v>
      </c>
      <c r="C250" s="279" t="s">
        <v>990</v>
      </c>
      <c r="D250" s="279" t="s">
        <v>991</v>
      </c>
      <c r="E250" s="279" t="s">
        <v>1024</v>
      </c>
      <c r="F250" s="124" t="s">
        <v>83</v>
      </c>
      <c r="G250" s="125" t="s">
        <v>104</v>
      </c>
      <c r="J250" s="58" t="s">
        <v>120</v>
      </c>
      <c r="K250" s="129" t="s">
        <v>1131</v>
      </c>
      <c r="L250" s="103" t="s">
        <v>98</v>
      </c>
      <c r="M250" s="58" t="str">
        <f t="shared" si="18"/>
        <v>Very Low</v>
      </c>
      <c r="N250" s="125"/>
      <c r="O250" s="130"/>
      <c r="P250" s="26"/>
      <c r="Q250" s="156"/>
      <c r="R250" s="65"/>
      <c r="S250" s="154"/>
      <c r="U250" s="140"/>
      <c r="V250" s="155"/>
    </row>
    <row r="251" spans="1:22" ht="36">
      <c r="A251" s="278" t="s">
        <v>1025</v>
      </c>
      <c r="B251" s="279" t="s">
        <v>1026</v>
      </c>
      <c r="C251" s="279" t="s">
        <v>1010</v>
      </c>
      <c r="D251" s="278" t="s">
        <v>1011</v>
      </c>
      <c r="E251" s="279" t="s">
        <v>1027</v>
      </c>
      <c r="F251" s="124" t="s">
        <v>114</v>
      </c>
      <c r="G251" s="125" t="s">
        <v>84</v>
      </c>
      <c r="J251" s="58" t="s">
        <v>120</v>
      </c>
      <c r="K251" s="130" t="s">
        <v>1142</v>
      </c>
      <c r="L251" s="103" t="s">
        <v>169</v>
      </c>
      <c r="M251" s="58" t="str">
        <f t="shared" si="18"/>
        <v>Low</v>
      </c>
      <c r="N251" s="125"/>
      <c r="O251" s="162"/>
      <c r="P251" s="26"/>
      <c r="Q251" s="155"/>
      <c r="R251" s="65"/>
      <c r="S251" s="154"/>
      <c r="U251" s="140"/>
      <c r="V251" s="155"/>
    </row>
    <row r="252" spans="1:22" ht="60">
      <c r="A252" s="278" t="s">
        <v>1028</v>
      </c>
      <c r="B252" s="279" t="s">
        <v>1029</v>
      </c>
      <c r="C252" s="279" t="s">
        <v>990</v>
      </c>
      <c r="D252" s="279" t="s">
        <v>991</v>
      </c>
      <c r="E252" s="279" t="s">
        <v>1030</v>
      </c>
      <c r="F252" s="124" t="s">
        <v>114</v>
      </c>
      <c r="G252" s="125" t="s">
        <v>84</v>
      </c>
      <c r="J252" s="58" t="s">
        <v>120</v>
      </c>
      <c r="K252" s="130" t="s">
        <v>1143</v>
      </c>
      <c r="L252" s="103" t="s">
        <v>98</v>
      </c>
      <c r="M252" s="58" t="str">
        <f t="shared" si="18"/>
        <v>Very Low</v>
      </c>
      <c r="N252" s="125"/>
      <c r="O252" s="130"/>
      <c r="P252" s="26"/>
      <c r="Q252" s="156"/>
      <c r="R252" s="65"/>
      <c r="S252" s="154"/>
      <c r="U252" s="140"/>
      <c r="V252" s="155"/>
    </row>
    <row r="253" spans="1:22" ht="24">
      <c r="A253" s="278" t="s">
        <v>1031</v>
      </c>
      <c r="B253" s="278" t="s">
        <v>1032</v>
      </c>
      <c r="C253" s="279" t="s">
        <v>985</v>
      </c>
      <c r="D253" s="279" t="s">
        <v>986</v>
      </c>
      <c r="E253" s="279" t="s">
        <v>1033</v>
      </c>
      <c r="F253" s="124" t="s">
        <v>114</v>
      </c>
      <c r="G253" s="125" t="s">
        <v>104</v>
      </c>
      <c r="J253" s="58" t="s">
        <v>163</v>
      </c>
      <c r="K253" s="130" t="s">
        <v>1144</v>
      </c>
      <c r="L253" s="103" t="s">
        <v>98</v>
      </c>
      <c r="M253" s="58" t="str">
        <f t="shared" si="18"/>
        <v>Very Low</v>
      </c>
      <c r="N253" s="125"/>
      <c r="O253" s="130"/>
      <c r="P253" s="26"/>
      <c r="Q253" s="156"/>
      <c r="R253" s="65"/>
      <c r="S253" s="154"/>
      <c r="U253" s="140"/>
      <c r="V253" s="155"/>
    </row>
    <row r="254" spans="1:22" ht="24">
      <c r="A254" s="278" t="s">
        <v>1034</v>
      </c>
      <c r="B254" s="278" t="s">
        <v>1035</v>
      </c>
      <c r="C254" s="279" t="s">
        <v>985</v>
      </c>
      <c r="D254" s="279" t="s">
        <v>986</v>
      </c>
      <c r="E254" s="278" t="s">
        <v>1036</v>
      </c>
      <c r="F254" s="124" t="s">
        <v>114</v>
      </c>
      <c r="G254" s="125" t="s">
        <v>84</v>
      </c>
      <c r="J254" s="58" t="s">
        <v>120</v>
      </c>
      <c r="K254" s="130" t="s">
        <v>1145</v>
      </c>
      <c r="L254" s="103" t="s">
        <v>169</v>
      </c>
      <c r="M254" s="58" t="str">
        <f t="shared" si="18"/>
        <v>Low</v>
      </c>
      <c r="N254" s="125"/>
      <c r="O254" s="130"/>
      <c r="P254" s="26"/>
      <c r="Q254" s="163"/>
      <c r="R254" s="65"/>
      <c r="S254" s="154"/>
      <c r="U254" s="140"/>
      <c r="V254" s="155"/>
    </row>
    <row r="255" spans="1:22" ht="48">
      <c r="A255" s="278" t="s">
        <v>1037</v>
      </c>
      <c r="B255" s="278" t="s">
        <v>1038</v>
      </c>
      <c r="C255" s="278" t="s">
        <v>1010</v>
      </c>
      <c r="D255" s="278" t="s">
        <v>1039</v>
      </c>
      <c r="E255" s="278" t="s">
        <v>1040</v>
      </c>
      <c r="F255" s="124" t="s">
        <v>83</v>
      </c>
      <c r="G255" s="125" t="s">
        <v>84</v>
      </c>
      <c r="J255" s="58" t="s">
        <v>120</v>
      </c>
      <c r="K255" s="130" t="s">
        <v>1146</v>
      </c>
      <c r="L255" s="103" t="s">
        <v>169</v>
      </c>
      <c r="M255" s="58" t="str">
        <f t="shared" si="18"/>
        <v>Low</v>
      </c>
      <c r="N255" s="125"/>
      <c r="O255" s="130"/>
      <c r="P255" s="26"/>
      <c r="Q255" s="164"/>
      <c r="R255" s="65"/>
      <c r="S255" s="154"/>
      <c r="U255" s="140"/>
      <c r="V255" s="167"/>
    </row>
    <row r="256" spans="1:22" ht="48">
      <c r="A256" s="278" t="s">
        <v>1041</v>
      </c>
      <c r="B256" s="278" t="s">
        <v>1042</v>
      </c>
      <c r="C256" s="278" t="s">
        <v>1010</v>
      </c>
      <c r="D256" s="278" t="s">
        <v>1011</v>
      </c>
      <c r="E256" s="278" t="s">
        <v>1043</v>
      </c>
      <c r="F256" s="124" t="s">
        <v>83</v>
      </c>
      <c r="G256" s="125" t="s">
        <v>84</v>
      </c>
      <c r="J256" s="58" t="s">
        <v>120</v>
      </c>
      <c r="K256" s="130" t="s">
        <v>1146</v>
      </c>
      <c r="L256" s="103" t="s">
        <v>169</v>
      </c>
      <c r="M256" s="58" t="str">
        <f t="shared" si="18"/>
        <v>Low</v>
      </c>
      <c r="N256" s="125"/>
      <c r="O256" s="162" t="s">
        <v>1198</v>
      </c>
      <c r="P256" s="26"/>
      <c r="Q256" s="165" t="s">
        <v>1198</v>
      </c>
      <c r="R256" s="65" t="s">
        <v>169</v>
      </c>
      <c r="S256" s="154" t="str">
        <f t="shared" si="19"/>
        <v>Low</v>
      </c>
      <c r="U256" s="140"/>
      <c r="V256" s="165"/>
    </row>
    <row r="257" spans="1:22" ht="24" customHeight="1">
      <c r="A257" s="278" t="s">
        <v>1044</v>
      </c>
      <c r="B257" s="278" t="s">
        <v>1045</v>
      </c>
      <c r="C257" s="279" t="s">
        <v>985</v>
      </c>
      <c r="D257" s="279" t="s">
        <v>986</v>
      </c>
      <c r="E257" s="278" t="s">
        <v>1046</v>
      </c>
      <c r="F257" s="124" t="s">
        <v>83</v>
      </c>
      <c r="G257" s="125" t="s">
        <v>84</v>
      </c>
      <c r="J257" s="58" t="s">
        <v>120</v>
      </c>
      <c r="K257" s="130" t="s">
        <v>1147</v>
      </c>
      <c r="L257" s="103" t="s">
        <v>98</v>
      </c>
      <c r="M257" s="58" t="str">
        <f t="shared" si="18"/>
        <v>Very Low</v>
      </c>
      <c r="N257" s="125"/>
      <c r="O257" s="130"/>
      <c r="P257" s="26"/>
      <c r="Q257" s="165"/>
      <c r="R257" s="65"/>
      <c r="S257" s="154"/>
      <c r="U257" s="140"/>
      <c r="V257" s="168"/>
    </row>
    <row r="258" spans="1:22" ht="24" customHeight="1">
      <c r="A258" s="278" t="s">
        <v>1047</v>
      </c>
      <c r="B258" s="278" t="s">
        <v>1048</v>
      </c>
      <c r="C258" s="278" t="s">
        <v>1010</v>
      </c>
      <c r="D258" s="278" t="s">
        <v>1011</v>
      </c>
      <c r="E258" s="278" t="s">
        <v>1049</v>
      </c>
      <c r="F258" s="124" t="s">
        <v>126</v>
      </c>
      <c r="G258" s="125" t="s">
        <v>104</v>
      </c>
      <c r="J258" s="58" t="s">
        <v>163</v>
      </c>
      <c r="K258" s="130" t="s">
        <v>1148</v>
      </c>
      <c r="L258" s="103" t="s">
        <v>98</v>
      </c>
      <c r="M258" s="58" t="str">
        <f t="shared" si="18"/>
        <v>Very Low</v>
      </c>
      <c r="N258" s="125"/>
      <c r="O258" s="162"/>
      <c r="P258" s="26"/>
      <c r="Q258" s="165"/>
      <c r="R258" s="65"/>
      <c r="S258" s="154"/>
      <c r="U258" s="140"/>
      <c r="V258" s="165"/>
    </row>
    <row r="259" spans="1:22" ht="24" customHeight="1">
      <c r="A259" s="278" t="s">
        <v>1050</v>
      </c>
      <c r="B259" s="280" t="s">
        <v>1051</v>
      </c>
      <c r="C259" s="280" t="s">
        <v>1010</v>
      </c>
      <c r="D259" s="278" t="s">
        <v>1011</v>
      </c>
      <c r="E259" s="280" t="s">
        <v>1052</v>
      </c>
      <c r="F259" s="124" t="s">
        <v>126</v>
      </c>
      <c r="G259" s="125" t="s">
        <v>104</v>
      </c>
      <c r="J259" s="58" t="s">
        <v>163</v>
      </c>
      <c r="K259" s="130" t="s">
        <v>1149</v>
      </c>
      <c r="L259" s="103" t="s">
        <v>98</v>
      </c>
      <c r="M259" s="58" t="str">
        <f t="shared" si="18"/>
        <v>Very Low</v>
      </c>
      <c r="N259" s="125"/>
      <c r="O259" s="130"/>
      <c r="P259" s="26"/>
      <c r="Q259" s="166"/>
      <c r="R259" s="65"/>
      <c r="S259" s="154"/>
      <c r="U259" s="140"/>
      <c r="V259" s="165"/>
    </row>
    <row r="260" spans="1:22" ht="24" customHeight="1">
      <c r="A260" s="278" t="s">
        <v>1053</v>
      </c>
      <c r="B260" s="280" t="s">
        <v>1054</v>
      </c>
      <c r="C260" s="279" t="s">
        <v>985</v>
      </c>
      <c r="D260" s="279" t="s">
        <v>986</v>
      </c>
      <c r="E260" s="280" t="s">
        <v>1055</v>
      </c>
      <c r="F260" s="124" t="s">
        <v>114</v>
      </c>
      <c r="G260" s="125" t="s">
        <v>84</v>
      </c>
      <c r="J260" s="58" t="s">
        <v>120</v>
      </c>
      <c r="K260" s="130" t="s">
        <v>1150</v>
      </c>
      <c r="L260" s="103" t="s">
        <v>98</v>
      </c>
      <c r="M260" s="58" t="str">
        <f t="shared" si="18"/>
        <v>Very Low</v>
      </c>
      <c r="N260" s="125"/>
      <c r="O260" s="130"/>
      <c r="P260" s="26"/>
      <c r="Q260" s="164"/>
      <c r="R260" s="65"/>
      <c r="S260" s="154"/>
      <c r="U260" s="140"/>
      <c r="V260" s="167"/>
    </row>
    <row r="261" spans="1:22" ht="24" customHeight="1">
      <c r="A261" s="278" t="s">
        <v>1056</v>
      </c>
      <c r="B261" s="278" t="s">
        <v>1057</v>
      </c>
      <c r="C261" s="278" t="s">
        <v>1010</v>
      </c>
      <c r="D261" s="278" t="s">
        <v>1011</v>
      </c>
      <c r="E261" s="278" t="s">
        <v>1058</v>
      </c>
      <c r="F261" s="124" t="s">
        <v>114</v>
      </c>
      <c r="G261" s="125" t="s">
        <v>84</v>
      </c>
      <c r="J261" s="58" t="s">
        <v>120</v>
      </c>
      <c r="K261" s="130" t="s">
        <v>1151</v>
      </c>
      <c r="L261" s="103" t="s">
        <v>169</v>
      </c>
      <c r="M261" s="58" t="str">
        <f t="shared" si="18"/>
        <v>Low</v>
      </c>
      <c r="N261" s="208"/>
      <c r="O261" s="130"/>
      <c r="P261" s="26"/>
      <c r="Q261" s="173"/>
      <c r="R261" s="65"/>
      <c r="S261" s="154"/>
      <c r="U261" s="209"/>
      <c r="V261" s="155"/>
    </row>
    <row r="262" spans="1:22" ht="24" customHeight="1">
      <c r="A262" s="278" t="s">
        <v>1059</v>
      </c>
      <c r="B262" s="279" t="s">
        <v>1060</v>
      </c>
      <c r="C262" s="278" t="s">
        <v>1010</v>
      </c>
      <c r="D262" s="278" t="s">
        <v>1011</v>
      </c>
      <c r="E262" s="278" t="s">
        <v>1061</v>
      </c>
      <c r="F262" s="124" t="s">
        <v>126</v>
      </c>
      <c r="G262" s="125" t="s">
        <v>84</v>
      </c>
      <c r="J262" s="58" t="s">
        <v>163</v>
      </c>
      <c r="K262" s="130" t="s">
        <v>1146</v>
      </c>
      <c r="L262" s="103" t="s">
        <v>169</v>
      </c>
      <c r="M262" s="58" t="str">
        <f t="shared" si="18"/>
        <v>Very Low</v>
      </c>
      <c r="N262" s="125"/>
      <c r="O262" s="162"/>
      <c r="P262" s="26"/>
      <c r="Q262" s="165"/>
      <c r="R262" s="65"/>
      <c r="S262" s="154"/>
      <c r="U262" s="140"/>
      <c r="V262" s="165"/>
    </row>
    <row r="263" spans="1:22" ht="24" customHeight="1">
      <c r="A263" s="278" t="s">
        <v>1062</v>
      </c>
      <c r="B263" s="279" t="s">
        <v>1063</v>
      </c>
      <c r="C263" s="278" t="s">
        <v>1010</v>
      </c>
      <c r="D263" s="278" t="s">
        <v>1011</v>
      </c>
      <c r="E263" s="278" t="s">
        <v>1064</v>
      </c>
      <c r="F263" s="124" t="s">
        <v>114</v>
      </c>
      <c r="G263" s="125" t="s">
        <v>104</v>
      </c>
      <c r="J263" s="58" t="s">
        <v>163</v>
      </c>
      <c r="K263" s="130" t="s">
        <v>1152</v>
      </c>
      <c r="L263" s="103" t="s">
        <v>98</v>
      </c>
      <c r="M263" s="58" t="str">
        <f t="shared" si="18"/>
        <v>Very Low</v>
      </c>
      <c r="N263" s="125"/>
      <c r="O263" s="130"/>
      <c r="P263" s="26"/>
      <c r="Q263" s="166"/>
      <c r="R263" s="65"/>
      <c r="S263" s="154"/>
      <c r="U263" s="140"/>
      <c r="V263" s="165"/>
    </row>
    <row r="264" spans="1:22" ht="24" customHeight="1">
      <c r="A264" s="278" t="s">
        <v>1065</v>
      </c>
      <c r="B264" s="279" t="s">
        <v>1066</v>
      </c>
      <c r="C264" s="279" t="s">
        <v>990</v>
      </c>
      <c r="D264" s="279" t="s">
        <v>991</v>
      </c>
      <c r="E264" s="278" t="s">
        <v>1067</v>
      </c>
      <c r="F264" s="124" t="s">
        <v>114</v>
      </c>
      <c r="G264" s="125" t="s">
        <v>84</v>
      </c>
      <c r="J264" s="58" t="s">
        <v>120</v>
      </c>
      <c r="K264" s="130" t="s">
        <v>1153</v>
      </c>
      <c r="L264" s="103" t="s">
        <v>169</v>
      </c>
      <c r="M264" s="58" t="str">
        <f t="shared" si="18"/>
        <v>Low</v>
      </c>
      <c r="N264" s="160"/>
      <c r="O264" s="130"/>
      <c r="P264" s="26"/>
      <c r="Q264" s="157"/>
      <c r="R264" s="65"/>
      <c r="S264" s="154"/>
      <c r="U264" s="140"/>
      <c r="V264" s="167"/>
    </row>
    <row r="265" spans="1:22" ht="48">
      <c r="A265" s="186" t="s">
        <v>1068</v>
      </c>
      <c r="B265" s="172" t="s">
        <v>1069</v>
      </c>
      <c r="C265" s="186" t="s">
        <v>985</v>
      </c>
      <c r="D265" s="172" t="s">
        <v>986</v>
      </c>
      <c r="E265" s="186" t="s">
        <v>1070</v>
      </c>
      <c r="F265" s="180" t="s">
        <v>114</v>
      </c>
      <c r="G265" s="181" t="s">
        <v>104</v>
      </c>
      <c r="J265" s="58" t="s">
        <v>163</v>
      </c>
      <c r="K265" s="172" t="s">
        <v>1154</v>
      </c>
      <c r="L265" s="103" t="s">
        <v>85</v>
      </c>
      <c r="M265" s="58" t="str">
        <f t="shared" si="18"/>
        <v>Low</v>
      </c>
      <c r="N265" s="181"/>
      <c r="O265" s="172"/>
      <c r="P265" s="26"/>
      <c r="Q265" s="166"/>
      <c r="R265" s="65"/>
      <c r="S265" s="215"/>
      <c r="U265" s="217"/>
      <c r="V265" s="166"/>
    </row>
    <row r="266" spans="1:22" ht="24">
      <c r="A266" s="186" t="s">
        <v>1071</v>
      </c>
      <c r="B266" s="172" t="s">
        <v>1072</v>
      </c>
      <c r="C266" s="186" t="s">
        <v>1010</v>
      </c>
      <c r="D266" s="186" t="s">
        <v>1011</v>
      </c>
      <c r="E266" s="186" t="s">
        <v>1073</v>
      </c>
      <c r="F266" s="180" t="s">
        <v>114</v>
      </c>
      <c r="G266" s="181" t="s">
        <v>104</v>
      </c>
      <c r="J266" s="58" t="s">
        <v>163</v>
      </c>
      <c r="K266" s="172" t="s">
        <v>1155</v>
      </c>
      <c r="L266" s="103" t="s">
        <v>85</v>
      </c>
      <c r="M266" s="58" t="str">
        <f t="shared" si="18"/>
        <v>Low</v>
      </c>
      <c r="N266" s="181"/>
      <c r="O266" s="172"/>
      <c r="P266" s="26"/>
      <c r="Q266" s="166"/>
      <c r="R266" s="65"/>
      <c r="S266" s="215"/>
      <c r="U266" s="217"/>
      <c r="V266" s="166"/>
    </row>
    <row r="267" spans="1:22" ht="24">
      <c r="A267" s="186" t="s">
        <v>1074</v>
      </c>
      <c r="B267" s="172" t="s">
        <v>1075</v>
      </c>
      <c r="C267" s="172" t="s">
        <v>985</v>
      </c>
      <c r="D267" s="172" t="s">
        <v>986</v>
      </c>
      <c r="E267" s="186" t="s">
        <v>1076</v>
      </c>
      <c r="F267" s="180" t="s">
        <v>114</v>
      </c>
      <c r="G267" s="181" t="s">
        <v>84</v>
      </c>
      <c r="J267" s="58" t="s">
        <v>120</v>
      </c>
      <c r="K267" s="172" t="s">
        <v>1156</v>
      </c>
      <c r="L267" s="103" t="s">
        <v>98</v>
      </c>
      <c r="M267" s="58" t="str">
        <f t="shared" si="18"/>
        <v>Very Low</v>
      </c>
      <c r="N267" s="181"/>
      <c r="O267" s="172"/>
      <c r="P267" s="26"/>
      <c r="Q267" s="166"/>
      <c r="R267" s="65"/>
      <c r="S267" s="215"/>
      <c r="U267" s="217"/>
      <c r="V267" s="166"/>
    </row>
    <row r="268" spans="1:22" ht="24">
      <c r="A268" s="186" t="s">
        <v>1077</v>
      </c>
      <c r="B268" s="172" t="s">
        <v>1078</v>
      </c>
      <c r="C268" s="172" t="s">
        <v>985</v>
      </c>
      <c r="D268" s="172" t="s">
        <v>1079</v>
      </c>
      <c r="E268" s="186" t="s">
        <v>1080</v>
      </c>
      <c r="F268" s="180" t="s">
        <v>83</v>
      </c>
      <c r="G268" s="181" t="s">
        <v>84</v>
      </c>
      <c r="J268" s="58" t="s">
        <v>120</v>
      </c>
      <c r="K268" s="216" t="s">
        <v>1157</v>
      </c>
      <c r="L268" s="103" t="s">
        <v>169</v>
      </c>
      <c r="M268" s="58" t="str">
        <f t="shared" si="18"/>
        <v>Low</v>
      </c>
      <c r="N268" s="181"/>
      <c r="O268" s="172"/>
      <c r="P268" s="26"/>
      <c r="Q268" s="166"/>
      <c r="R268" s="65"/>
      <c r="S268" s="215"/>
      <c r="U268" s="217"/>
      <c r="V268" s="218"/>
    </row>
    <row r="269" spans="1:22" ht="24">
      <c r="A269" s="186" t="s">
        <v>1081</v>
      </c>
      <c r="B269" s="172" t="s">
        <v>1082</v>
      </c>
      <c r="C269" s="172" t="s">
        <v>985</v>
      </c>
      <c r="D269" s="186" t="s">
        <v>1011</v>
      </c>
      <c r="E269" s="186" t="s">
        <v>1083</v>
      </c>
      <c r="F269" s="180" t="s">
        <v>114</v>
      </c>
      <c r="G269" s="181" t="s">
        <v>92</v>
      </c>
      <c r="J269" s="58" t="s">
        <v>120</v>
      </c>
      <c r="K269" s="216" t="s">
        <v>1424</v>
      </c>
      <c r="L269" s="103" t="s">
        <v>169</v>
      </c>
      <c r="M269" s="58" t="str">
        <f t="shared" si="18"/>
        <v>Low</v>
      </c>
      <c r="N269" s="181"/>
      <c r="O269" s="172"/>
      <c r="P269" s="26"/>
      <c r="Q269" s="166"/>
      <c r="R269" s="65"/>
      <c r="S269" s="215"/>
      <c r="U269" s="217"/>
      <c r="V269" s="218"/>
    </row>
    <row r="270" spans="1:22" ht="24">
      <c r="A270" s="186" t="s">
        <v>1084</v>
      </c>
      <c r="B270" s="172" t="s">
        <v>1085</v>
      </c>
      <c r="C270" s="172" t="s">
        <v>985</v>
      </c>
      <c r="D270" s="186" t="s">
        <v>1011</v>
      </c>
      <c r="E270" s="186" t="s">
        <v>1086</v>
      </c>
      <c r="F270" s="180" t="s">
        <v>114</v>
      </c>
      <c r="G270" s="181" t="s">
        <v>104</v>
      </c>
      <c r="J270" s="58" t="s">
        <v>163</v>
      </c>
      <c r="K270" s="216" t="s">
        <v>1158</v>
      </c>
      <c r="L270" s="103" t="s">
        <v>85</v>
      </c>
      <c r="M270" s="58" t="str">
        <f t="shared" si="18"/>
        <v>Low</v>
      </c>
      <c r="N270" s="181"/>
      <c r="O270" s="172"/>
      <c r="P270" s="26"/>
      <c r="Q270" s="166"/>
      <c r="R270" s="65"/>
      <c r="S270" s="215"/>
      <c r="U270" s="217"/>
      <c r="V270" s="218"/>
    </row>
    <row r="271" spans="1:22" ht="24">
      <c r="A271" s="278" t="s">
        <v>1087</v>
      </c>
      <c r="B271" s="279" t="s">
        <v>1088</v>
      </c>
      <c r="C271" s="279" t="s">
        <v>985</v>
      </c>
      <c r="D271" s="279" t="s">
        <v>986</v>
      </c>
      <c r="E271" s="278" t="s">
        <v>1089</v>
      </c>
      <c r="F271" s="124" t="s">
        <v>83</v>
      </c>
      <c r="G271" s="125" t="s">
        <v>92</v>
      </c>
      <c r="J271" s="58" t="s">
        <v>157</v>
      </c>
      <c r="K271" s="130" t="s">
        <v>1159</v>
      </c>
      <c r="L271" s="103" t="s">
        <v>98</v>
      </c>
      <c r="M271" s="58" t="str">
        <f t="shared" si="18"/>
        <v>Low</v>
      </c>
      <c r="N271" s="125"/>
      <c r="O271" s="162"/>
      <c r="P271" s="26"/>
      <c r="Q271" s="165"/>
      <c r="R271" s="65"/>
      <c r="S271" s="154"/>
      <c r="U271" s="140"/>
      <c r="V271" s="165"/>
    </row>
    <row r="272" spans="1:22" ht="48">
      <c r="A272" s="278" t="s">
        <v>1090</v>
      </c>
      <c r="B272" s="279" t="s">
        <v>1091</v>
      </c>
      <c r="C272" s="279" t="s">
        <v>985</v>
      </c>
      <c r="D272" s="279" t="s">
        <v>986</v>
      </c>
      <c r="E272" s="278" t="s">
        <v>1092</v>
      </c>
      <c r="F272" s="124" t="s">
        <v>83</v>
      </c>
      <c r="G272" s="125" t="s">
        <v>84</v>
      </c>
      <c r="J272" s="58" t="s">
        <v>120</v>
      </c>
      <c r="K272" s="130" t="s">
        <v>1160</v>
      </c>
      <c r="L272" s="103" t="s">
        <v>169</v>
      </c>
      <c r="M272" s="58" t="str">
        <f t="shared" si="18"/>
        <v>Low</v>
      </c>
      <c r="N272" s="125"/>
      <c r="O272" s="130"/>
      <c r="P272" s="26"/>
      <c r="Q272" s="156"/>
      <c r="R272" s="65"/>
      <c r="S272" s="154"/>
      <c r="U272" s="140"/>
      <c r="V272" s="155"/>
    </row>
    <row r="273" spans="1:22" ht="24">
      <c r="A273" s="186" t="s">
        <v>1093</v>
      </c>
      <c r="B273" s="172" t="s">
        <v>1094</v>
      </c>
      <c r="C273" s="172" t="s">
        <v>985</v>
      </c>
      <c r="D273" s="172" t="s">
        <v>986</v>
      </c>
      <c r="E273" s="186" t="s">
        <v>1095</v>
      </c>
      <c r="F273" s="180" t="s">
        <v>83</v>
      </c>
      <c r="G273" s="181" t="s">
        <v>84</v>
      </c>
      <c r="J273" s="58" t="s">
        <v>120</v>
      </c>
      <c r="K273" s="172" t="s">
        <v>1161</v>
      </c>
      <c r="L273" s="103" t="s">
        <v>98</v>
      </c>
      <c r="M273" s="58" t="str">
        <f t="shared" si="18"/>
        <v>Very Low</v>
      </c>
      <c r="N273" s="181"/>
      <c r="O273" s="186"/>
      <c r="P273" s="26"/>
      <c r="Q273" s="173"/>
      <c r="R273" s="65"/>
      <c r="S273" s="215"/>
      <c r="U273" s="217"/>
      <c r="V273" s="173"/>
    </row>
    <row r="274" spans="1:22" ht="24">
      <c r="A274" s="186" t="s">
        <v>1096</v>
      </c>
      <c r="B274" s="172" t="s">
        <v>1097</v>
      </c>
      <c r="C274" s="186" t="s">
        <v>1010</v>
      </c>
      <c r="D274" s="186" t="s">
        <v>1011</v>
      </c>
      <c r="E274" s="186" t="s">
        <v>1098</v>
      </c>
      <c r="F274" s="180" t="s">
        <v>83</v>
      </c>
      <c r="G274" s="181" t="s">
        <v>84</v>
      </c>
      <c r="J274" s="58" t="s">
        <v>120</v>
      </c>
      <c r="K274" s="172" t="s">
        <v>1162</v>
      </c>
      <c r="L274" s="103" t="s">
        <v>98</v>
      </c>
      <c r="M274" s="58" t="str">
        <f t="shared" si="18"/>
        <v>Very Low</v>
      </c>
      <c r="N274" s="181"/>
      <c r="O274" s="172"/>
      <c r="P274" s="26"/>
      <c r="Q274" s="166"/>
      <c r="R274" s="65"/>
      <c r="S274" s="215"/>
      <c r="U274" s="217"/>
      <c r="V274" s="166"/>
    </row>
    <row r="275" spans="1:22" ht="24">
      <c r="A275" s="186" t="s">
        <v>1099</v>
      </c>
      <c r="B275" s="281" t="s">
        <v>1100</v>
      </c>
      <c r="C275" s="186" t="s">
        <v>985</v>
      </c>
      <c r="D275" s="172" t="s">
        <v>986</v>
      </c>
      <c r="E275" s="186" t="s">
        <v>1101</v>
      </c>
      <c r="F275" s="180" t="s">
        <v>83</v>
      </c>
      <c r="G275" s="181" t="s">
        <v>84</v>
      </c>
      <c r="J275" s="58" t="s">
        <v>120</v>
      </c>
      <c r="K275" s="170" t="s">
        <v>1163</v>
      </c>
      <c r="L275" s="103" t="s">
        <v>98</v>
      </c>
      <c r="M275" s="58" t="str">
        <f t="shared" ref="M275:M350" si="26">IF(OR(J275="",L275=""),"",
IF(AND(J275="Very High",L275="Excellent"),"Low",
IF(AND(J275="Very High",L275="Good"),"Medium",
IF(AND(J275="Very High",L275="Fair"),"High",
IF(AND(J275="Very High",L275="Poor"),"Very High",
IF(AND(J275="Very High",L275="Unsatisfactory"),"Very High",
IF(AND(J275="High",L275="Excellent"),"Very Low",
IF(AND(J275="High",L275="Good"),"Low",
IF(AND(J275="High",L275="Fair"),"Medium",
IF(AND(J275="High",L275="Poor"),"High",
IF(AND(J275="High",L275="Unsatisfactory"),"High",
IF(AND(J275="Medium",L275="Excellent"),"Very Low",
IF(AND(J275="Medium",L275="Good"),"Very Low",
IF(AND(J275="Medium",L275="Fair"),"Low",
IF(AND(J275="Medium",L275="Poor"),"Medium",
IF(AND(J275="Medium",L275="Unsatisfactory"),"Medium",
IF(AND(J275="Low",L275="Excellent"),"Very Low",
IF(AND(J275="Low",L275="Good"),"Very Low",
IF(AND(J275="Low",L275="Fair"),"Very Low",
IF(AND(J275="Low",L275="Poor"),"Low",
IF(AND(J275="Low",L275="Unsatisfactory"),"Low",
IF(AND(J275="Very Low",L275="Excellent"),"Very Low",
IF(AND(J275="Very Low",L275="Good"),"Very Low",
IF(AND(J275="Very Low",L275="Fair"),"Very Low",
IF(AND(J275="Very Low",L275="Poor"),"Very Low",
IF(AND(J275="Very Low",L275="Unsatisfactory"),"Very Low",""))))))))))))))))))))))))))</f>
        <v>Very Low</v>
      </c>
      <c r="N275" s="181"/>
      <c r="O275" s="219"/>
      <c r="P275" s="26"/>
      <c r="Q275" s="220"/>
      <c r="R275" s="65"/>
      <c r="S275" s="215"/>
      <c r="U275" s="217"/>
      <c r="V275" s="220"/>
    </row>
    <row r="276" spans="1:22" ht="24">
      <c r="A276" s="282" t="s">
        <v>1102</v>
      </c>
      <c r="B276" s="283" t="s">
        <v>1103</v>
      </c>
      <c r="C276" s="282" t="s">
        <v>1010</v>
      </c>
      <c r="D276" s="307" t="s">
        <v>1011</v>
      </c>
      <c r="E276" s="284" t="s">
        <v>1104</v>
      </c>
      <c r="F276" s="222" t="s">
        <v>83</v>
      </c>
      <c r="G276" s="221" t="s">
        <v>84</v>
      </c>
      <c r="J276" s="73" t="s">
        <v>120</v>
      </c>
      <c r="K276" s="223" t="s">
        <v>1202</v>
      </c>
      <c r="L276" s="210" t="s">
        <v>169</v>
      </c>
      <c r="M276" s="58" t="str">
        <f t="shared" si="26"/>
        <v>Low</v>
      </c>
      <c r="N276" s="221"/>
      <c r="O276" s="224"/>
      <c r="P276" s="211"/>
      <c r="Q276" s="225"/>
      <c r="R276" s="212"/>
      <c r="S276" s="213"/>
      <c r="U276" s="209"/>
      <c r="V276" s="225"/>
    </row>
    <row r="277" spans="1:22" ht="36">
      <c r="A277" s="285" t="s">
        <v>1105</v>
      </c>
      <c r="B277" s="286" t="s">
        <v>1107</v>
      </c>
      <c r="C277" s="278" t="s">
        <v>985</v>
      </c>
      <c r="D277" s="286" t="s">
        <v>1108</v>
      </c>
      <c r="E277" s="286" t="s">
        <v>1109</v>
      </c>
      <c r="F277" s="126" t="s">
        <v>83</v>
      </c>
      <c r="G277" s="126" t="s">
        <v>84</v>
      </c>
      <c r="J277" s="58" t="s">
        <v>120</v>
      </c>
      <c r="K277" s="126" t="s">
        <v>1164</v>
      </c>
      <c r="L277" s="103" t="s">
        <v>98</v>
      </c>
      <c r="M277" s="58" t="str">
        <f t="shared" si="26"/>
        <v>Very Low</v>
      </c>
      <c r="N277" s="161"/>
      <c r="O277" s="126"/>
      <c r="P277" s="26"/>
      <c r="Q277" s="126"/>
      <c r="R277" s="65"/>
      <c r="S277" s="154"/>
      <c r="U277" s="140"/>
      <c r="V277" s="141"/>
    </row>
    <row r="278" spans="1:22" s="214" customFormat="1" ht="144">
      <c r="A278" s="285" t="s">
        <v>1425</v>
      </c>
      <c r="B278" s="286" t="s">
        <v>1111</v>
      </c>
      <c r="C278" s="278" t="s">
        <v>985</v>
      </c>
      <c r="D278" s="286" t="s">
        <v>1112</v>
      </c>
      <c r="E278" s="286" t="s">
        <v>1113</v>
      </c>
      <c r="F278" s="126" t="s">
        <v>83</v>
      </c>
      <c r="G278" s="126" t="s">
        <v>84</v>
      </c>
      <c r="H278" s="14"/>
      <c r="I278" s="14"/>
      <c r="J278" s="58" t="s">
        <v>120</v>
      </c>
      <c r="K278" s="126" t="s">
        <v>1201</v>
      </c>
      <c r="L278" s="103" t="s">
        <v>169</v>
      </c>
      <c r="M278" s="58" t="str">
        <f t="shared" si="26"/>
        <v>Low</v>
      </c>
      <c r="N278" s="161"/>
      <c r="O278" s="131"/>
      <c r="P278" s="26"/>
      <c r="Q278" s="126"/>
      <c r="R278" s="65"/>
      <c r="S278" s="154"/>
      <c r="T278" s="14"/>
      <c r="U278" s="140"/>
      <c r="V278" s="141"/>
    </row>
    <row r="279" spans="1:22">
      <c r="A279" s="186" t="s">
        <v>1426</v>
      </c>
      <c r="B279" s="278" t="s">
        <v>1115</v>
      </c>
      <c r="C279" s="278" t="s">
        <v>985</v>
      </c>
      <c r="D279" s="278" t="s">
        <v>1116</v>
      </c>
      <c r="E279" s="279" t="s">
        <v>1117</v>
      </c>
      <c r="F279" s="126" t="s">
        <v>83</v>
      </c>
      <c r="G279" s="126" t="s">
        <v>84</v>
      </c>
      <c r="J279" s="58" t="s">
        <v>120</v>
      </c>
      <c r="K279" s="125" t="s">
        <v>1165</v>
      </c>
      <c r="L279" s="103" t="s">
        <v>98</v>
      </c>
      <c r="M279" s="58" t="str">
        <f t="shared" si="26"/>
        <v>Very Low</v>
      </c>
      <c r="N279" s="161"/>
      <c r="O279" s="131"/>
      <c r="P279" s="26"/>
      <c r="Q279" s="126"/>
      <c r="R279" s="65"/>
      <c r="S279" s="154"/>
      <c r="U279" s="140"/>
      <c r="V279" s="141"/>
    </row>
    <row r="280" spans="1:22">
      <c r="A280" s="241" t="s">
        <v>1427</v>
      </c>
      <c r="B280" s="280" t="s">
        <v>1119</v>
      </c>
      <c r="C280" s="280" t="s">
        <v>1120</v>
      </c>
      <c r="D280" s="280" t="s">
        <v>1121</v>
      </c>
      <c r="E280" s="287" t="s">
        <v>1122</v>
      </c>
      <c r="F280" s="126" t="s">
        <v>83</v>
      </c>
      <c r="G280" s="126" t="s">
        <v>84</v>
      </c>
      <c r="J280" s="58" t="s">
        <v>120</v>
      </c>
      <c r="K280" s="125" t="s">
        <v>1200</v>
      </c>
      <c r="L280" s="103" t="s">
        <v>98</v>
      </c>
      <c r="M280" s="58" t="str">
        <f t="shared" si="26"/>
        <v>Very Low</v>
      </c>
      <c r="N280" s="161"/>
      <c r="O280" s="131"/>
      <c r="P280" s="26"/>
      <c r="Q280" s="158"/>
      <c r="R280" s="65"/>
      <c r="S280" s="154"/>
      <c r="U280" s="140"/>
      <c r="V280" s="141"/>
    </row>
    <row r="281" spans="1:22">
      <c r="A281" s="219" t="s">
        <v>1106</v>
      </c>
      <c r="B281" s="288" t="s">
        <v>1125</v>
      </c>
      <c r="C281" s="288" t="s">
        <v>1120</v>
      </c>
      <c r="D281" s="278" t="s">
        <v>1123</v>
      </c>
      <c r="E281" s="286" t="s">
        <v>1126</v>
      </c>
      <c r="F281" s="126" t="s">
        <v>83</v>
      </c>
      <c r="G281" s="126" t="s">
        <v>84</v>
      </c>
      <c r="J281" s="58" t="s">
        <v>120</v>
      </c>
      <c r="K281" s="125" t="s">
        <v>1199</v>
      </c>
      <c r="L281" s="103" t="s">
        <v>169</v>
      </c>
      <c r="M281" s="58" t="str">
        <f t="shared" si="26"/>
        <v>Low</v>
      </c>
      <c r="N281" s="161"/>
      <c r="O281" s="131"/>
      <c r="P281" s="26"/>
      <c r="Q281" s="26"/>
      <c r="R281" s="65"/>
      <c r="S281" s="154"/>
      <c r="U281" s="140"/>
      <c r="V281" s="141"/>
    </row>
    <row r="282" spans="1:22">
      <c r="A282" s="289" t="s">
        <v>1110</v>
      </c>
      <c r="B282" s="290" t="s">
        <v>1127</v>
      </c>
      <c r="C282" s="290" t="s">
        <v>1128</v>
      </c>
      <c r="D282" s="290" t="s">
        <v>1129</v>
      </c>
      <c r="E282" s="123" t="s">
        <v>1130</v>
      </c>
      <c r="F282" s="126" t="s">
        <v>83</v>
      </c>
      <c r="G282" s="126" t="s">
        <v>84</v>
      </c>
      <c r="J282" s="58" t="s">
        <v>120</v>
      </c>
      <c r="K282" s="125" t="s">
        <v>1166</v>
      </c>
      <c r="L282" s="103" t="s">
        <v>98</v>
      </c>
      <c r="M282" s="58" t="str">
        <f t="shared" si="26"/>
        <v>Very Low</v>
      </c>
      <c r="N282" s="161"/>
      <c r="O282" s="131"/>
      <c r="P282" s="26"/>
      <c r="Q282" s="26"/>
      <c r="R282" s="65"/>
      <c r="S282" s="154"/>
      <c r="U282" s="140"/>
      <c r="V282" s="141"/>
    </row>
    <row r="283" spans="1:22" ht="13">
      <c r="A283" s="226" t="s">
        <v>1114</v>
      </c>
      <c r="B283" s="291" t="s">
        <v>1428</v>
      </c>
      <c r="C283" s="292" t="s">
        <v>1120</v>
      </c>
      <c r="D283" s="292" t="s">
        <v>1123</v>
      </c>
      <c r="E283" s="226" t="s">
        <v>1435</v>
      </c>
      <c r="F283" s="228" t="s">
        <v>109</v>
      </c>
      <c r="G283" s="232" t="s">
        <v>92</v>
      </c>
      <c r="J283" s="230" t="s">
        <v>157</v>
      </c>
      <c r="K283" s="230" t="s">
        <v>1439</v>
      </c>
      <c r="L283" s="103" t="s">
        <v>98</v>
      </c>
      <c r="M283" s="58" t="str">
        <f t="shared" si="26"/>
        <v>Low</v>
      </c>
      <c r="N283" s="230"/>
      <c r="O283" s="236"/>
      <c r="P283" s="128"/>
      <c r="Q283" s="128"/>
      <c r="R283" s="174"/>
      <c r="S283" s="154"/>
      <c r="U283" s="140"/>
      <c r="V283" s="141"/>
    </row>
    <row r="284" spans="1:22" ht="26">
      <c r="A284" s="227" t="s">
        <v>1118</v>
      </c>
      <c r="B284" s="293" t="s">
        <v>1429</v>
      </c>
      <c r="C284" s="294" t="s">
        <v>985</v>
      </c>
      <c r="D284" s="294" t="s">
        <v>1129</v>
      </c>
      <c r="E284" s="227" t="s">
        <v>1436</v>
      </c>
      <c r="F284" s="233" t="s">
        <v>83</v>
      </c>
      <c r="G284" s="233" t="s">
        <v>84</v>
      </c>
      <c r="J284" s="229" t="s">
        <v>120</v>
      </c>
      <c r="K284" s="234" t="s">
        <v>1440</v>
      </c>
      <c r="L284" s="103" t="s">
        <v>98</v>
      </c>
      <c r="M284" s="58" t="str">
        <f t="shared" si="26"/>
        <v>Very Low</v>
      </c>
      <c r="N284" s="229"/>
      <c r="O284" s="234"/>
      <c r="P284" s="128"/>
      <c r="Q284" s="128"/>
      <c r="R284" s="174"/>
      <c r="S284" s="154"/>
      <c r="U284" s="140"/>
      <c r="V284" s="141"/>
    </row>
    <row r="285" spans="1:22" ht="26">
      <c r="A285" s="226" t="s">
        <v>1430</v>
      </c>
      <c r="B285" s="291" t="s">
        <v>1431</v>
      </c>
      <c r="C285" s="295" t="s">
        <v>1433</v>
      </c>
      <c r="D285" s="295" t="s">
        <v>1434</v>
      </c>
      <c r="E285" s="296" t="s">
        <v>1437</v>
      </c>
      <c r="F285" s="355" t="s">
        <v>83</v>
      </c>
      <c r="G285" s="355" t="s">
        <v>84</v>
      </c>
      <c r="J285" s="229" t="s">
        <v>120</v>
      </c>
      <c r="K285" s="235" t="s">
        <v>1441</v>
      </c>
      <c r="L285" s="103" t="s">
        <v>169</v>
      </c>
      <c r="M285" s="58" t="str">
        <f t="shared" si="26"/>
        <v>Low</v>
      </c>
      <c r="N285" s="231"/>
      <c r="O285" s="235"/>
      <c r="P285" s="128"/>
      <c r="Q285" s="128"/>
      <c r="R285" s="174"/>
      <c r="S285" s="154"/>
      <c r="U285" s="140"/>
      <c r="V285" s="141"/>
    </row>
    <row r="286" spans="1:22" ht="26">
      <c r="A286" s="333" t="s">
        <v>1124</v>
      </c>
      <c r="B286" s="334" t="s">
        <v>1432</v>
      </c>
      <c r="C286" s="335" t="s">
        <v>1433</v>
      </c>
      <c r="D286" s="335" t="s">
        <v>1434</v>
      </c>
      <c r="E286" s="336" t="s">
        <v>1438</v>
      </c>
      <c r="F286" s="356" t="s">
        <v>83</v>
      </c>
      <c r="G286" s="356" t="s">
        <v>104</v>
      </c>
      <c r="J286" s="337" t="s">
        <v>120</v>
      </c>
      <c r="K286" s="338" t="s">
        <v>1442</v>
      </c>
      <c r="L286" s="103" t="s">
        <v>98</v>
      </c>
      <c r="M286" s="102" t="str">
        <f t="shared" si="26"/>
        <v>Very Low</v>
      </c>
      <c r="N286" s="339"/>
      <c r="O286" s="340"/>
      <c r="P286" s="128"/>
      <c r="Q286" s="128"/>
      <c r="R286" s="174"/>
      <c r="S286" s="175"/>
      <c r="U286" s="138"/>
      <c r="V286" s="139"/>
    </row>
    <row r="287" spans="1:22" s="26" customFormat="1" ht="26">
      <c r="A287" s="350" t="s">
        <v>1809</v>
      </c>
      <c r="B287" s="346" t="s">
        <v>985</v>
      </c>
      <c r="C287" s="345" t="s">
        <v>1798</v>
      </c>
      <c r="D287" s="345" t="s">
        <v>1129</v>
      </c>
      <c r="E287" s="26" t="s">
        <v>1798</v>
      </c>
      <c r="F287" s="356" t="s">
        <v>83</v>
      </c>
      <c r="G287" s="356" t="s">
        <v>104</v>
      </c>
      <c r="J287" s="337" t="s">
        <v>120</v>
      </c>
      <c r="K287" s="352" t="s">
        <v>1837</v>
      </c>
      <c r="L287" s="47" t="s">
        <v>169</v>
      </c>
      <c r="M287" s="102" t="str">
        <f t="shared" si="26"/>
        <v>Low</v>
      </c>
      <c r="N287" s="347"/>
      <c r="O287" s="348"/>
      <c r="R287" s="65"/>
      <c r="S287" s="206"/>
      <c r="U287" s="207"/>
      <c r="V287" s="349"/>
    </row>
    <row r="288" spans="1:22" s="26" customFormat="1" ht="13">
      <c r="A288" s="344" t="s">
        <v>1810</v>
      </c>
      <c r="B288" s="346" t="s">
        <v>1820</v>
      </c>
      <c r="C288" s="345" t="s">
        <v>1799</v>
      </c>
      <c r="D288" s="345" t="s">
        <v>1823</v>
      </c>
      <c r="E288" s="26" t="s">
        <v>1827</v>
      </c>
      <c r="F288" s="356" t="s">
        <v>83</v>
      </c>
      <c r="G288" s="356" t="s">
        <v>84</v>
      </c>
      <c r="J288" s="337" t="s">
        <v>120</v>
      </c>
      <c r="K288" s="353" t="s">
        <v>1838</v>
      </c>
      <c r="L288" s="47" t="s">
        <v>98</v>
      </c>
      <c r="M288" s="102" t="str">
        <f t="shared" ref="M288:M297" si="27">IF(OR(J288="",L288=""),"",
IF(AND(J288="Very High",L288="Excellent"),"Low",
IF(AND(J288="Very High",L288="Good"),"Medium",
IF(AND(J288="Very High",L288="Fair"),"High",
IF(AND(J288="Very High",L288="Poor"),"Very High",
IF(AND(J288="Very High",L288="Unsatisfactory"),"Very High",
IF(AND(J288="High",L288="Excellent"),"Very Low",
IF(AND(J288="High",L288="Good"),"Low",
IF(AND(J288="High",L288="Fair"),"Medium",
IF(AND(J288="High",L288="Poor"),"High",
IF(AND(J288="High",L288="Unsatisfactory"),"High",
IF(AND(J288="Medium",L288="Excellent"),"Very Low",
IF(AND(J288="Medium",L288="Good"),"Very Low",
IF(AND(J288="Medium",L288="Fair"),"Low",
IF(AND(J288="Medium",L288="Poor"),"Medium",
IF(AND(J288="Medium",L288="Unsatisfactory"),"Medium",
IF(AND(J288="Low",L288="Excellent"),"Very Low",
IF(AND(J288="Low",L288="Good"),"Very Low",
IF(AND(J288="Low",L288="Fair"),"Very Low",
IF(AND(J288="Low",L288="Poor"),"Low",
IF(AND(J288="Low",L288="Unsatisfactory"),"Low",
IF(AND(J288="Very Low",L288="Excellent"),"Very Low",
IF(AND(J288="Very Low",L288="Good"),"Very Low",
IF(AND(J288="Very Low",L288="Fair"),"Very Low",
IF(AND(J288="Very Low",L288="Poor"),"Very Low",
IF(AND(J288="Very Low",L288="Unsatisfactory"),"Very Low",""))))))))))))))))))))))))))</f>
        <v>Very Low</v>
      </c>
      <c r="N288" s="347"/>
      <c r="O288" s="348"/>
      <c r="R288" s="65"/>
      <c r="S288" s="206"/>
      <c r="U288" s="207"/>
      <c r="V288" s="349"/>
    </row>
    <row r="289" spans="1:22" s="26" customFormat="1" ht="13">
      <c r="A289" s="344" t="s">
        <v>1811</v>
      </c>
      <c r="B289" s="346" t="s">
        <v>1820</v>
      </c>
      <c r="C289" s="345" t="s">
        <v>1800</v>
      </c>
      <c r="D289" s="345" t="s">
        <v>1823</v>
      </c>
      <c r="E289" s="26" t="s">
        <v>1828</v>
      </c>
      <c r="F289" s="356" t="s">
        <v>83</v>
      </c>
      <c r="G289" s="356" t="s">
        <v>84</v>
      </c>
      <c r="J289" s="337" t="s">
        <v>120</v>
      </c>
      <c r="K289" s="354" t="s">
        <v>1839</v>
      </c>
      <c r="L289" s="47" t="s">
        <v>98</v>
      </c>
      <c r="M289" s="102" t="str">
        <f t="shared" si="27"/>
        <v>Very Low</v>
      </c>
      <c r="N289" s="347"/>
      <c r="O289" s="348"/>
      <c r="R289" s="65"/>
      <c r="S289" s="206"/>
      <c r="U289" s="207"/>
      <c r="V289" s="349"/>
    </row>
    <row r="290" spans="1:22" s="26" customFormat="1" ht="13">
      <c r="A290" s="344" t="s">
        <v>1812</v>
      </c>
      <c r="B290" s="346" t="s">
        <v>1820</v>
      </c>
      <c r="C290" s="345" t="s">
        <v>1801</v>
      </c>
      <c r="D290" s="345" t="s">
        <v>1823</v>
      </c>
      <c r="E290" s="26" t="s">
        <v>1829</v>
      </c>
      <c r="F290" s="356" t="s">
        <v>83</v>
      </c>
      <c r="G290" s="356" t="s">
        <v>84</v>
      </c>
      <c r="J290" s="337" t="s">
        <v>120</v>
      </c>
      <c r="K290" s="354" t="s">
        <v>1839</v>
      </c>
      <c r="L290" s="47" t="s">
        <v>98</v>
      </c>
      <c r="M290" s="102" t="str">
        <f t="shared" si="27"/>
        <v>Very Low</v>
      </c>
      <c r="N290" s="347"/>
      <c r="O290" s="348"/>
      <c r="R290" s="65"/>
      <c r="S290" s="206"/>
      <c r="U290" s="207"/>
      <c r="V290" s="349"/>
    </row>
    <row r="291" spans="1:22" s="26" customFormat="1" ht="13">
      <c r="A291" s="344" t="s">
        <v>1813</v>
      </c>
      <c r="B291" s="346" t="s">
        <v>1820</v>
      </c>
      <c r="C291" s="345" t="s">
        <v>1802</v>
      </c>
      <c r="D291" s="345" t="s">
        <v>1823</v>
      </c>
      <c r="E291" s="26" t="s">
        <v>1830</v>
      </c>
      <c r="F291" s="356" t="s">
        <v>83</v>
      </c>
      <c r="G291" s="356" t="s">
        <v>84</v>
      </c>
      <c r="J291" s="337" t="s">
        <v>120</v>
      </c>
      <c r="K291" s="352" t="s">
        <v>1840</v>
      </c>
      <c r="L291" s="47" t="s">
        <v>98</v>
      </c>
      <c r="M291" s="102" t="str">
        <f t="shared" si="27"/>
        <v>Very Low</v>
      </c>
      <c r="N291" s="347"/>
      <c r="O291" s="348"/>
      <c r="R291" s="65"/>
      <c r="S291" s="206"/>
      <c r="U291" s="207"/>
      <c r="V291" s="349"/>
    </row>
    <row r="292" spans="1:22" s="26" customFormat="1" ht="13">
      <c r="A292" s="344" t="s">
        <v>1814</v>
      </c>
      <c r="B292" s="346" t="s">
        <v>1128</v>
      </c>
      <c r="C292" s="345" t="s">
        <v>1803</v>
      </c>
      <c r="D292" s="345" t="s">
        <v>1824</v>
      </c>
      <c r="E292" s="26" t="s">
        <v>1831</v>
      </c>
      <c r="F292" s="356" t="s">
        <v>83</v>
      </c>
      <c r="G292" s="356" t="s">
        <v>161</v>
      </c>
      <c r="J292" s="58" t="s">
        <v>163</v>
      </c>
      <c r="K292" s="351" t="s">
        <v>1841</v>
      </c>
      <c r="L292" s="47" t="s">
        <v>98</v>
      </c>
      <c r="M292" s="102" t="str">
        <f t="shared" si="27"/>
        <v>Very Low</v>
      </c>
      <c r="N292" s="347"/>
      <c r="O292" s="348"/>
      <c r="R292" s="65"/>
      <c r="S292" s="206"/>
      <c r="U292" s="207"/>
      <c r="V292" s="349"/>
    </row>
    <row r="293" spans="1:22" s="26" customFormat="1" ht="26">
      <c r="A293" s="344" t="s">
        <v>1815</v>
      </c>
      <c r="B293" s="346" t="s">
        <v>1128</v>
      </c>
      <c r="C293" s="345" t="s">
        <v>1804</v>
      </c>
      <c r="D293" s="345" t="s">
        <v>1824</v>
      </c>
      <c r="E293" s="26" t="s">
        <v>1832</v>
      </c>
      <c r="F293" s="356" t="s">
        <v>126</v>
      </c>
      <c r="G293" s="356" t="s">
        <v>92</v>
      </c>
      <c r="J293" s="58" t="s">
        <v>163</v>
      </c>
      <c r="K293" s="352" t="s">
        <v>1842</v>
      </c>
      <c r="L293" s="47" t="s">
        <v>169</v>
      </c>
      <c r="M293" s="102" t="str">
        <f t="shared" si="27"/>
        <v>Very Low</v>
      </c>
      <c r="N293" s="347"/>
      <c r="O293" s="348"/>
      <c r="R293" s="65"/>
      <c r="S293" s="206"/>
      <c r="U293" s="207"/>
      <c r="V293" s="349"/>
    </row>
    <row r="294" spans="1:22" s="26" customFormat="1" ht="13">
      <c r="A294" s="344" t="s">
        <v>1816</v>
      </c>
      <c r="B294" s="346" t="s">
        <v>1128</v>
      </c>
      <c r="C294" s="345" t="s">
        <v>1805</v>
      </c>
      <c r="D294" s="345" t="s">
        <v>1824</v>
      </c>
      <c r="E294" s="26" t="s">
        <v>1833</v>
      </c>
      <c r="F294" s="356" t="s">
        <v>83</v>
      </c>
      <c r="G294" s="356" t="s">
        <v>161</v>
      </c>
      <c r="J294" s="58" t="s">
        <v>163</v>
      </c>
      <c r="K294" s="351" t="s">
        <v>1843</v>
      </c>
      <c r="L294" s="47" t="s">
        <v>93</v>
      </c>
      <c r="M294" s="102" t="str">
        <f t="shared" si="27"/>
        <v>Medium</v>
      </c>
      <c r="N294" s="347" t="s">
        <v>1824</v>
      </c>
      <c r="O294" s="348" t="s">
        <v>1848</v>
      </c>
      <c r="P294" s="26" t="s">
        <v>1847</v>
      </c>
      <c r="R294" s="65"/>
      <c r="S294" s="206"/>
      <c r="U294" s="207" t="s">
        <v>1849</v>
      </c>
      <c r="V294" s="349"/>
    </row>
    <row r="295" spans="1:22" s="26" customFormat="1" ht="26">
      <c r="A295" s="344" t="s">
        <v>1817</v>
      </c>
      <c r="B295" s="346" t="s">
        <v>1821</v>
      </c>
      <c r="C295" s="345" t="s">
        <v>1806</v>
      </c>
      <c r="D295" s="345" t="s">
        <v>1825</v>
      </c>
      <c r="E295" s="26" t="s">
        <v>1834</v>
      </c>
      <c r="F295" s="356" t="s">
        <v>83</v>
      </c>
      <c r="G295" s="356" t="s">
        <v>84</v>
      </c>
      <c r="J295" s="337" t="s">
        <v>120</v>
      </c>
      <c r="K295" s="352" t="s">
        <v>1844</v>
      </c>
      <c r="L295" s="47" t="s">
        <v>169</v>
      </c>
      <c r="M295" s="102" t="str">
        <f t="shared" si="27"/>
        <v>Low</v>
      </c>
      <c r="N295" s="347"/>
      <c r="O295" s="348"/>
      <c r="R295" s="65"/>
      <c r="S295" s="206"/>
      <c r="U295" s="207"/>
      <c r="V295" s="349"/>
    </row>
    <row r="296" spans="1:22" s="26" customFormat="1" ht="13">
      <c r="A296" s="344" t="s">
        <v>1818</v>
      </c>
      <c r="B296" s="346" t="s">
        <v>1822</v>
      </c>
      <c r="C296" s="345" t="s">
        <v>1807</v>
      </c>
      <c r="D296" s="345" t="s">
        <v>1826</v>
      </c>
      <c r="E296" s="26" t="s">
        <v>1835</v>
      </c>
      <c r="F296" s="356" t="s">
        <v>83</v>
      </c>
      <c r="G296" s="356" t="s">
        <v>84</v>
      </c>
      <c r="J296" s="337" t="s">
        <v>120</v>
      </c>
      <c r="K296" s="351" t="s">
        <v>1845</v>
      </c>
      <c r="L296" s="47" t="s">
        <v>169</v>
      </c>
      <c r="M296" s="102" t="str">
        <f t="shared" si="27"/>
        <v>Low</v>
      </c>
      <c r="N296" s="347"/>
      <c r="O296" s="348"/>
      <c r="R296" s="65"/>
      <c r="S296" s="206"/>
      <c r="U296" s="207"/>
      <c r="V296" s="349"/>
    </row>
    <row r="297" spans="1:22" s="26" customFormat="1" ht="13">
      <c r="A297" s="344" t="s">
        <v>1819</v>
      </c>
      <c r="B297" s="346" t="s">
        <v>1128</v>
      </c>
      <c r="C297" s="345" t="s">
        <v>1808</v>
      </c>
      <c r="D297" s="345" t="s">
        <v>1824</v>
      </c>
      <c r="E297" s="26" t="s">
        <v>1836</v>
      </c>
      <c r="F297" s="356" t="s">
        <v>114</v>
      </c>
      <c r="G297" s="356" t="s">
        <v>104</v>
      </c>
      <c r="J297" s="58" t="s">
        <v>163</v>
      </c>
      <c r="K297" s="351" t="s">
        <v>1846</v>
      </c>
      <c r="L297" s="47" t="s">
        <v>169</v>
      </c>
      <c r="M297" s="102" t="str">
        <f t="shared" si="27"/>
        <v>Very Low</v>
      </c>
      <c r="N297" s="347"/>
      <c r="O297" s="348"/>
      <c r="R297" s="65"/>
      <c r="S297" s="206"/>
      <c r="U297" s="207"/>
      <c r="V297" s="349"/>
    </row>
    <row r="298" spans="1:22" ht="24">
      <c r="A298" s="341" t="s">
        <v>1216</v>
      </c>
      <c r="B298" s="342" t="s">
        <v>79</v>
      </c>
      <c r="C298" s="343" t="s">
        <v>1244</v>
      </c>
      <c r="D298" s="343" t="s">
        <v>1272</v>
      </c>
      <c r="E298" s="343" t="s">
        <v>1274</v>
      </c>
      <c r="F298" s="357" t="s">
        <v>109</v>
      </c>
      <c r="G298" s="357" t="s">
        <v>161</v>
      </c>
      <c r="H298" s="192">
        <f>IF(F298='Risk Methedology Matrix'!B$26,5,IF(F298='Risk Methedology Matrix'!B$27,4,IF(F298='Risk Methedology Matrix'!B$28,3,IF(F298='Risk Methedology Matrix'!B$29,2,IF(F298='Risk Methedology Matrix'!B$30,1,0)))))</f>
        <v>5</v>
      </c>
      <c r="I298" s="192">
        <f>IF(G298='Risk Methedology Matrix'!G$25,5,IF(G298='Risk Methedology Matrix'!F$25,4,IF(G298='Risk Methedology Matrix'!E$25,3,IF(G298='Risk Methedology Matrix'!D$25,2,IF(G298='Risk Methedology Matrix'!C$25,1,0)))))</f>
        <v>2</v>
      </c>
      <c r="J298" s="192" t="str">
        <f>IF(OR(F298="",G298=""),"",IF(H298*I298&gt;=20,"Very High",IF(AND(H298*I298&lt;20,H298*I298&gt;=11),"High",IF(AND(H298*I298&lt;11,H298*I298&gt;=6),"Medium",IF(AND(H298*I298&lt;6,H298*I298&gt;=3),"Low",IF(AND(H298*I298&lt;3,H298*I298&gt;=1),"Very Low",""))))))</f>
        <v>Medium</v>
      </c>
      <c r="K298" s="343" t="s">
        <v>1302</v>
      </c>
      <c r="L298" s="200" t="s">
        <v>85</v>
      </c>
      <c r="M298" s="192" t="str">
        <f t="shared" si="26"/>
        <v>Low</v>
      </c>
      <c r="N298" s="202"/>
      <c r="O298" s="202"/>
      <c r="P298" s="202"/>
      <c r="Q298" s="202"/>
      <c r="R298" s="202"/>
      <c r="S298" s="202"/>
      <c r="U298" s="202"/>
      <c r="V298" s="202"/>
    </row>
    <row r="299" spans="1:22" ht="24">
      <c r="A299" s="186" t="s">
        <v>1217</v>
      </c>
      <c r="B299" s="256" t="s">
        <v>79</v>
      </c>
      <c r="C299" s="172" t="s">
        <v>1245</v>
      </c>
      <c r="D299" s="172" t="s">
        <v>1272</v>
      </c>
      <c r="E299" s="172" t="s">
        <v>1275</v>
      </c>
      <c r="F299" s="358" t="s">
        <v>83</v>
      </c>
      <c r="G299" s="358" t="s">
        <v>104</v>
      </c>
      <c r="H299" s="58">
        <f>IF(F299='Risk Methedology Matrix'!B$26,5,IF(F299='Risk Methedology Matrix'!B$27,4,IF(F299='Risk Methedology Matrix'!B$28,3,IF(F299='Risk Methedology Matrix'!B$29,2,IF(F299='Risk Methedology Matrix'!B$30,1,0)))))</f>
        <v>4</v>
      </c>
      <c r="I299" s="58">
        <f>IF(G299='Risk Methedology Matrix'!G$25,5,IF(G299='Risk Methedology Matrix'!F$25,4,IF(G299='Risk Methedology Matrix'!E$25,3,IF(G299='Risk Methedology Matrix'!D$25,2,IF(G299='Risk Methedology Matrix'!C$25,1,0)))))</f>
        <v>3</v>
      </c>
      <c r="J299" s="58" t="str">
        <f t="shared" ref="J299:J325" si="28">IF(OR(F299="",G299=""),"",IF(H299*I299&gt;=20,"Very High",IF(AND(H299*I299&lt;20,H299*I299&gt;=11),"High",IF(AND(H299*I299&lt;11,H299*I299&gt;=6),"Medium",IF(AND(H299*I299&lt;6,H299*I299&gt;=3),"Low",IF(AND(H299*I299&lt;3,H299*I299&gt;=1),"Very Low",""))))))</f>
        <v>High</v>
      </c>
      <c r="K299" s="172" t="s">
        <v>1303</v>
      </c>
      <c r="L299" s="103" t="s">
        <v>85</v>
      </c>
      <c r="M299" s="58" t="str">
        <f t="shared" si="26"/>
        <v>Medium</v>
      </c>
      <c r="N299" s="26"/>
      <c r="O299" s="26"/>
      <c r="P299" s="26"/>
      <c r="Q299" s="26"/>
      <c r="R299" s="26"/>
      <c r="S299" s="26"/>
      <c r="U299" s="26"/>
      <c r="V299" s="26"/>
    </row>
    <row r="300" spans="1:22" ht="24">
      <c r="A300" s="186" t="s">
        <v>1218</v>
      </c>
      <c r="B300" s="256" t="s">
        <v>88</v>
      </c>
      <c r="C300" s="172" t="s">
        <v>1246</v>
      </c>
      <c r="D300" s="172" t="s">
        <v>1272</v>
      </c>
      <c r="E300" s="172" t="s">
        <v>1276</v>
      </c>
      <c r="F300" s="47" t="s">
        <v>109</v>
      </c>
      <c r="G300" s="47" t="s">
        <v>104</v>
      </c>
      <c r="H300" s="58">
        <f>IF(F300='Risk Methedology Matrix'!B$26,5,IF(F300='Risk Methedology Matrix'!B$27,4,IF(F300='Risk Methedology Matrix'!B$28,3,IF(F300='Risk Methedology Matrix'!B$29,2,IF(F300='Risk Methedology Matrix'!B$30,1,0)))))</f>
        <v>5</v>
      </c>
      <c r="I300" s="58">
        <f>IF(G300='Risk Methedology Matrix'!G$25,5,IF(G300='Risk Methedology Matrix'!F$25,4,IF(G300='Risk Methedology Matrix'!E$25,3,IF(G300='Risk Methedology Matrix'!D$25,2,IF(G300='Risk Methedology Matrix'!C$25,1,0)))))</f>
        <v>3</v>
      </c>
      <c r="J300" s="58" t="str">
        <f t="shared" si="28"/>
        <v>High</v>
      </c>
      <c r="K300" s="172" t="s">
        <v>1304</v>
      </c>
      <c r="L300" s="103" t="s">
        <v>85</v>
      </c>
      <c r="M300" s="58" t="str">
        <f t="shared" si="26"/>
        <v>Medium</v>
      </c>
      <c r="N300" s="26"/>
      <c r="O300" s="26"/>
      <c r="P300" s="26"/>
      <c r="Q300" s="26"/>
      <c r="R300" s="26"/>
      <c r="S300" s="26"/>
      <c r="U300" s="26"/>
      <c r="V300" s="26"/>
    </row>
    <row r="301" spans="1:22" ht="24">
      <c r="A301" s="186" t="s">
        <v>1219</v>
      </c>
      <c r="B301" s="256" t="s">
        <v>79</v>
      </c>
      <c r="C301" s="172" t="s">
        <v>1247</v>
      </c>
      <c r="D301" s="172" t="s">
        <v>1272</v>
      </c>
      <c r="E301" s="172" t="s">
        <v>1277</v>
      </c>
      <c r="F301" s="47" t="s">
        <v>114</v>
      </c>
      <c r="G301" s="47" t="s">
        <v>104</v>
      </c>
      <c r="H301" s="58">
        <f>IF(F301='Risk Methedology Matrix'!B$26,5,IF(F301='Risk Methedology Matrix'!B$27,4,IF(F301='Risk Methedology Matrix'!B$28,3,IF(F301='Risk Methedology Matrix'!B$29,2,IF(F301='Risk Methedology Matrix'!B$30,1,0)))))</f>
        <v>3</v>
      </c>
      <c r="I301" s="58">
        <f>IF(G301='Risk Methedology Matrix'!G$25,5,IF(G301='Risk Methedology Matrix'!F$25,4,IF(G301='Risk Methedology Matrix'!E$25,3,IF(G301='Risk Methedology Matrix'!D$25,2,IF(G301='Risk Methedology Matrix'!C$25,1,0)))))</f>
        <v>3</v>
      </c>
      <c r="J301" s="58" t="str">
        <f t="shared" si="28"/>
        <v>Medium</v>
      </c>
      <c r="K301" s="172" t="s">
        <v>1305</v>
      </c>
      <c r="L301" s="103" t="s">
        <v>85</v>
      </c>
      <c r="M301" s="58" t="str">
        <f t="shared" si="26"/>
        <v>Low</v>
      </c>
      <c r="N301" s="26"/>
      <c r="O301" s="26"/>
      <c r="P301" s="26"/>
      <c r="Q301" s="26"/>
      <c r="R301" s="26"/>
      <c r="S301" s="26"/>
      <c r="U301" s="26"/>
      <c r="V301" s="26"/>
    </row>
    <row r="302" spans="1:22" ht="24">
      <c r="A302" s="186" t="s">
        <v>1220</v>
      </c>
      <c r="B302" s="256" t="s">
        <v>79</v>
      </c>
      <c r="C302" s="172" t="s">
        <v>1248</v>
      </c>
      <c r="D302" s="172" t="s">
        <v>1272</v>
      </c>
      <c r="E302" s="173" t="s">
        <v>1278</v>
      </c>
      <c r="F302" s="47" t="s">
        <v>126</v>
      </c>
      <c r="G302" s="47" t="s">
        <v>161</v>
      </c>
      <c r="H302" s="58">
        <f>IF(F302='Risk Methedology Matrix'!B$26,5,IF(F302='Risk Methedology Matrix'!B$27,4,IF(F302='Risk Methedology Matrix'!B$28,3,IF(F302='Risk Methedology Matrix'!B$29,2,IF(F302='Risk Methedology Matrix'!B$30,1,0)))))</f>
        <v>2</v>
      </c>
      <c r="I302" s="58">
        <f>IF(G302='Risk Methedology Matrix'!G$25,5,IF(G302='Risk Methedology Matrix'!F$25,4,IF(G302='Risk Methedology Matrix'!E$25,3,IF(G302='Risk Methedology Matrix'!D$25,2,IF(G302='Risk Methedology Matrix'!C$25,1,0)))))</f>
        <v>2</v>
      </c>
      <c r="J302" s="58" t="str">
        <f t="shared" si="28"/>
        <v>Low</v>
      </c>
      <c r="K302" s="172"/>
      <c r="L302" s="103" t="s">
        <v>85</v>
      </c>
      <c r="M302" s="58" t="str">
        <f t="shared" si="26"/>
        <v>Very Low</v>
      </c>
      <c r="N302" s="26"/>
      <c r="O302" s="26"/>
      <c r="P302" s="26"/>
      <c r="Q302" s="26"/>
      <c r="R302" s="26"/>
      <c r="S302" s="26"/>
      <c r="U302" s="26"/>
      <c r="V302" s="26"/>
    </row>
    <row r="303" spans="1:22" ht="24">
      <c r="A303" s="186" t="s">
        <v>1221</v>
      </c>
      <c r="B303" s="256" t="s">
        <v>79</v>
      </c>
      <c r="C303" s="172" t="s">
        <v>1249</v>
      </c>
      <c r="D303" s="172" t="s">
        <v>1272</v>
      </c>
      <c r="E303" s="172" t="s">
        <v>1279</v>
      </c>
      <c r="F303" s="47" t="s">
        <v>126</v>
      </c>
      <c r="G303" s="47" t="s">
        <v>104</v>
      </c>
      <c r="H303" s="58">
        <f>IF(F303='Risk Methedology Matrix'!B$26,5,IF(F303='Risk Methedology Matrix'!B$27,4,IF(F303='Risk Methedology Matrix'!B$28,3,IF(F303='Risk Methedology Matrix'!B$29,2,IF(F303='Risk Methedology Matrix'!B$30,1,0)))))</f>
        <v>2</v>
      </c>
      <c r="I303" s="58">
        <f>IF(G303='Risk Methedology Matrix'!G$25,5,IF(G303='Risk Methedology Matrix'!F$25,4,IF(G303='Risk Methedology Matrix'!E$25,3,IF(G303='Risk Methedology Matrix'!D$25,2,IF(G303='Risk Methedology Matrix'!C$25,1,0)))))</f>
        <v>3</v>
      </c>
      <c r="J303" s="58" t="str">
        <f t="shared" si="28"/>
        <v>Medium</v>
      </c>
      <c r="K303" s="172" t="s">
        <v>1306</v>
      </c>
      <c r="L303" s="103" t="s">
        <v>85</v>
      </c>
      <c r="M303" s="58" t="str">
        <f t="shared" si="26"/>
        <v>Low</v>
      </c>
      <c r="N303" s="26"/>
      <c r="O303" s="26"/>
      <c r="P303" s="26"/>
      <c r="Q303" s="26"/>
      <c r="R303" s="26"/>
      <c r="S303" s="26"/>
      <c r="U303" s="26"/>
      <c r="V303" s="26"/>
    </row>
    <row r="304" spans="1:22" ht="12.5">
      <c r="A304" s="186" t="s">
        <v>1222</v>
      </c>
      <c r="B304" s="256" t="s">
        <v>79</v>
      </c>
      <c r="C304" s="172" t="s">
        <v>1250</v>
      </c>
      <c r="D304" s="172" t="s">
        <v>1272</v>
      </c>
      <c r="E304" s="172" t="s">
        <v>1280</v>
      </c>
      <c r="F304" s="47" t="s">
        <v>126</v>
      </c>
      <c r="G304" s="47" t="s">
        <v>161</v>
      </c>
      <c r="H304" s="58">
        <f>IF(F304='Risk Methedology Matrix'!B$26,5,IF(F304='Risk Methedology Matrix'!B$27,4,IF(F304='Risk Methedology Matrix'!B$28,3,IF(F304='Risk Methedology Matrix'!B$29,2,IF(F304='Risk Methedology Matrix'!B$30,1,0)))))</f>
        <v>2</v>
      </c>
      <c r="I304" s="58">
        <f>IF(G304='Risk Methedology Matrix'!G$25,5,IF(G304='Risk Methedology Matrix'!F$25,4,IF(G304='Risk Methedology Matrix'!E$25,3,IF(G304='Risk Methedology Matrix'!D$25,2,IF(G304='Risk Methedology Matrix'!C$25,1,0)))))</f>
        <v>2</v>
      </c>
      <c r="J304" s="58" t="str">
        <f t="shared" si="28"/>
        <v>Low</v>
      </c>
      <c r="K304" s="172"/>
      <c r="L304" s="103" t="s">
        <v>85</v>
      </c>
      <c r="M304" s="58" t="str">
        <f t="shared" si="26"/>
        <v>Very Low</v>
      </c>
      <c r="N304" s="26"/>
      <c r="O304" s="26"/>
      <c r="P304" s="26"/>
      <c r="Q304" s="26"/>
      <c r="R304" s="26"/>
      <c r="S304" s="26"/>
      <c r="U304" s="26"/>
      <c r="V304" s="26"/>
    </row>
    <row r="305" spans="1:22" ht="24">
      <c r="A305" s="186" t="s">
        <v>1223</v>
      </c>
      <c r="B305" s="256" t="s">
        <v>117</v>
      </c>
      <c r="C305" s="172" t="s">
        <v>1251</v>
      </c>
      <c r="D305" s="172" t="s">
        <v>1272</v>
      </c>
      <c r="E305" s="172" t="s">
        <v>1281</v>
      </c>
      <c r="F305" s="47" t="s">
        <v>114</v>
      </c>
      <c r="G305" s="47" t="s">
        <v>104</v>
      </c>
      <c r="H305" s="58">
        <f>IF(F305='Risk Methedology Matrix'!B$26,5,IF(F305='Risk Methedology Matrix'!B$27,4,IF(F305='Risk Methedology Matrix'!B$28,3,IF(F305='Risk Methedology Matrix'!B$29,2,IF(F305='Risk Methedology Matrix'!B$30,1,0)))))</f>
        <v>3</v>
      </c>
      <c r="I305" s="58">
        <f>IF(G305='Risk Methedology Matrix'!G$25,5,IF(G305='Risk Methedology Matrix'!F$25,4,IF(G305='Risk Methedology Matrix'!E$25,3,IF(G305='Risk Methedology Matrix'!D$25,2,IF(G305='Risk Methedology Matrix'!C$25,1,0)))))</f>
        <v>3</v>
      </c>
      <c r="J305" s="58" t="str">
        <f t="shared" si="28"/>
        <v>Medium</v>
      </c>
      <c r="K305" s="172" t="s">
        <v>1307</v>
      </c>
      <c r="L305" s="103" t="s">
        <v>169</v>
      </c>
      <c r="M305" s="58" t="str">
        <f t="shared" si="26"/>
        <v>Very Low</v>
      </c>
      <c r="N305" s="26"/>
      <c r="O305" s="26"/>
      <c r="P305" s="26"/>
      <c r="Q305" s="26"/>
      <c r="R305" s="26"/>
      <c r="S305" s="26"/>
      <c r="U305" s="26"/>
      <c r="V305" s="26"/>
    </row>
    <row r="306" spans="1:22" ht="12.5">
      <c r="A306" s="186" t="s">
        <v>1224</v>
      </c>
      <c r="B306" s="256" t="s">
        <v>79</v>
      </c>
      <c r="C306" s="172" t="s">
        <v>1252</v>
      </c>
      <c r="D306" s="172" t="s">
        <v>1272</v>
      </c>
      <c r="E306" s="172" t="s">
        <v>1282</v>
      </c>
      <c r="F306" s="47" t="s">
        <v>165</v>
      </c>
      <c r="G306" s="47" t="s">
        <v>161</v>
      </c>
      <c r="H306" s="58">
        <f>IF(F306='Risk Methedology Matrix'!B$26,5,IF(F306='Risk Methedology Matrix'!B$27,4,IF(F306='Risk Methedology Matrix'!B$28,3,IF(F306='Risk Methedology Matrix'!B$29,2,IF(F306='Risk Methedology Matrix'!B$30,1,0)))))</f>
        <v>1</v>
      </c>
      <c r="I306" s="58">
        <f>IF(G306='Risk Methedology Matrix'!G$25,5,IF(G306='Risk Methedology Matrix'!F$25,4,IF(G306='Risk Methedology Matrix'!E$25,3,IF(G306='Risk Methedology Matrix'!D$25,2,IF(G306='Risk Methedology Matrix'!C$25,1,0)))))</f>
        <v>2</v>
      </c>
      <c r="J306" s="58" t="str">
        <f t="shared" si="28"/>
        <v>Very Low</v>
      </c>
      <c r="K306" s="172"/>
      <c r="L306" s="103" t="s">
        <v>85</v>
      </c>
      <c r="M306" s="58" t="str">
        <f t="shared" si="26"/>
        <v>Very Low</v>
      </c>
      <c r="N306" s="26"/>
      <c r="O306" s="26"/>
      <c r="P306" s="26"/>
      <c r="Q306" s="26"/>
      <c r="R306" s="26"/>
      <c r="S306" s="26"/>
      <c r="U306" s="26"/>
      <c r="V306" s="26"/>
    </row>
    <row r="307" spans="1:22" ht="12.5">
      <c r="A307" s="186" t="s">
        <v>1225</v>
      </c>
      <c r="B307" s="256" t="s">
        <v>88</v>
      </c>
      <c r="C307" s="172" t="s">
        <v>1253</v>
      </c>
      <c r="D307" s="172" t="s">
        <v>1272</v>
      </c>
      <c r="E307" s="172" t="s">
        <v>1283</v>
      </c>
      <c r="F307" s="47" t="s">
        <v>126</v>
      </c>
      <c r="G307" s="47" t="s">
        <v>161</v>
      </c>
      <c r="H307" s="58">
        <f>IF(F307='Risk Methedology Matrix'!B$26,5,IF(F307='Risk Methedology Matrix'!B$27,4,IF(F307='Risk Methedology Matrix'!B$28,3,IF(F307='Risk Methedology Matrix'!B$29,2,IF(F307='Risk Methedology Matrix'!B$30,1,0)))))</f>
        <v>2</v>
      </c>
      <c r="I307" s="58">
        <f>IF(G307='Risk Methedology Matrix'!G$25,5,IF(G307='Risk Methedology Matrix'!F$25,4,IF(G307='Risk Methedology Matrix'!E$25,3,IF(G307='Risk Methedology Matrix'!D$25,2,IF(G307='Risk Methedology Matrix'!C$25,1,0)))))</f>
        <v>2</v>
      </c>
      <c r="J307" s="58" t="str">
        <f t="shared" si="28"/>
        <v>Low</v>
      </c>
      <c r="K307" s="172"/>
      <c r="L307" s="103" t="s">
        <v>85</v>
      </c>
      <c r="M307" s="58" t="str">
        <f t="shared" si="26"/>
        <v>Very Low</v>
      </c>
      <c r="N307" s="26"/>
      <c r="O307" s="26"/>
      <c r="P307" s="26"/>
      <c r="Q307" s="26"/>
      <c r="R307" s="26"/>
      <c r="S307" s="26"/>
      <c r="U307" s="26"/>
      <c r="V307" s="26"/>
    </row>
    <row r="308" spans="1:22" ht="24">
      <c r="A308" s="186" t="s">
        <v>1226</v>
      </c>
      <c r="B308" s="256" t="s">
        <v>79</v>
      </c>
      <c r="C308" s="172" t="s">
        <v>1254</v>
      </c>
      <c r="D308" s="172" t="s">
        <v>1272</v>
      </c>
      <c r="E308" s="172" t="s">
        <v>1284</v>
      </c>
      <c r="F308" s="47" t="s">
        <v>114</v>
      </c>
      <c r="G308" s="47" t="s">
        <v>161</v>
      </c>
      <c r="H308" s="58">
        <f>IF(F308='Risk Methedology Matrix'!B$26,5,IF(F308='Risk Methedology Matrix'!B$27,4,IF(F308='Risk Methedology Matrix'!B$28,3,IF(F308='Risk Methedology Matrix'!B$29,2,IF(F308='Risk Methedology Matrix'!B$30,1,0)))))</f>
        <v>3</v>
      </c>
      <c r="I308" s="58">
        <f>IF(G308='Risk Methedology Matrix'!G$25,5,IF(G308='Risk Methedology Matrix'!F$25,4,IF(G308='Risk Methedology Matrix'!E$25,3,IF(G308='Risk Methedology Matrix'!D$25,2,IF(G308='Risk Methedology Matrix'!C$25,1,0)))))</f>
        <v>2</v>
      </c>
      <c r="J308" s="58" t="str">
        <f t="shared" si="28"/>
        <v>Medium</v>
      </c>
      <c r="K308" s="172" t="s">
        <v>1308</v>
      </c>
      <c r="L308" s="103" t="s">
        <v>169</v>
      </c>
      <c r="M308" s="58" t="str">
        <f t="shared" si="26"/>
        <v>Very Low</v>
      </c>
      <c r="N308" s="26"/>
      <c r="O308" s="26"/>
      <c r="P308" s="26"/>
      <c r="Q308" s="26"/>
      <c r="R308" s="26"/>
      <c r="S308" s="26"/>
      <c r="U308" s="26"/>
      <c r="V308" s="26"/>
    </row>
    <row r="309" spans="1:22" ht="25">
      <c r="A309" s="186" t="s">
        <v>1227</v>
      </c>
      <c r="B309" s="256" t="s">
        <v>79</v>
      </c>
      <c r="C309" s="172" t="s">
        <v>1255</v>
      </c>
      <c r="D309" s="172" t="s">
        <v>1272</v>
      </c>
      <c r="E309" s="172" t="s">
        <v>1285</v>
      </c>
      <c r="F309" s="47" t="s">
        <v>83</v>
      </c>
      <c r="G309" s="47" t="s">
        <v>104</v>
      </c>
      <c r="H309" s="58">
        <f>IF(F309='Risk Methedology Matrix'!B$26,5,IF(F309='Risk Methedology Matrix'!B$27,4,IF(F309='Risk Methedology Matrix'!B$28,3,IF(F309='Risk Methedology Matrix'!B$29,2,IF(F309='Risk Methedology Matrix'!B$30,1,0)))))</f>
        <v>4</v>
      </c>
      <c r="I309" s="58">
        <f>IF(G309='Risk Methedology Matrix'!G$25,5,IF(G309='Risk Methedology Matrix'!F$25,4,IF(G309='Risk Methedology Matrix'!E$25,3,IF(G309='Risk Methedology Matrix'!D$25,2,IF(G309='Risk Methedology Matrix'!C$25,1,0)))))</f>
        <v>3</v>
      </c>
      <c r="J309" s="58" t="str">
        <f t="shared" si="28"/>
        <v>High</v>
      </c>
      <c r="K309" s="129" t="s">
        <v>1309</v>
      </c>
      <c r="L309" s="103" t="s">
        <v>85</v>
      </c>
      <c r="M309" s="58" t="str">
        <f t="shared" si="26"/>
        <v>Medium</v>
      </c>
      <c r="N309" s="26"/>
      <c r="O309" s="26"/>
      <c r="P309" s="26"/>
      <c r="Q309" s="26"/>
      <c r="R309" s="26"/>
      <c r="S309" s="26"/>
      <c r="U309" s="26"/>
      <c r="V309" s="26"/>
    </row>
    <row r="310" spans="1:22" ht="24">
      <c r="A310" s="186" t="s">
        <v>1228</v>
      </c>
      <c r="B310" s="256" t="s">
        <v>79</v>
      </c>
      <c r="C310" s="172" t="s">
        <v>1256</v>
      </c>
      <c r="D310" s="172" t="s">
        <v>1272</v>
      </c>
      <c r="E310" s="172" t="s">
        <v>1286</v>
      </c>
      <c r="F310" s="47" t="s">
        <v>114</v>
      </c>
      <c r="G310" s="47" t="s">
        <v>161</v>
      </c>
      <c r="H310" s="58">
        <f>IF(F310='Risk Methedology Matrix'!B$26,5,IF(F310='Risk Methedology Matrix'!B$27,4,IF(F310='Risk Methedology Matrix'!B$28,3,IF(F310='Risk Methedology Matrix'!B$29,2,IF(F310='Risk Methedology Matrix'!B$30,1,0)))))</f>
        <v>3</v>
      </c>
      <c r="I310" s="58">
        <f>IF(G310='Risk Methedology Matrix'!G$25,5,IF(G310='Risk Methedology Matrix'!F$25,4,IF(G310='Risk Methedology Matrix'!E$25,3,IF(G310='Risk Methedology Matrix'!D$25,2,IF(G310='Risk Methedology Matrix'!C$25,1,0)))))</f>
        <v>2</v>
      </c>
      <c r="J310" s="58" t="str">
        <f t="shared" si="28"/>
        <v>Medium</v>
      </c>
      <c r="K310" s="172" t="s">
        <v>1310</v>
      </c>
      <c r="L310" s="103" t="s">
        <v>169</v>
      </c>
      <c r="M310" s="58" t="str">
        <f t="shared" si="26"/>
        <v>Very Low</v>
      </c>
      <c r="N310" s="26"/>
      <c r="O310" s="26"/>
      <c r="P310" s="26"/>
      <c r="Q310" s="26"/>
      <c r="R310" s="26"/>
      <c r="S310" s="26"/>
      <c r="U310" s="26"/>
      <c r="V310" s="26"/>
    </row>
    <row r="311" spans="1:22" ht="24">
      <c r="A311" s="186" t="s">
        <v>1229</v>
      </c>
      <c r="B311" s="256" t="s">
        <v>79</v>
      </c>
      <c r="C311" s="172" t="s">
        <v>1257</v>
      </c>
      <c r="D311" s="172" t="s">
        <v>1272</v>
      </c>
      <c r="E311" s="172" t="s">
        <v>1287</v>
      </c>
      <c r="F311" s="47" t="s">
        <v>126</v>
      </c>
      <c r="G311" s="47" t="s">
        <v>161</v>
      </c>
      <c r="H311" s="58">
        <f>IF(F311='Risk Methedology Matrix'!B$26,5,IF(F311='Risk Methedology Matrix'!B$27,4,IF(F311='Risk Methedology Matrix'!B$28,3,IF(F311='Risk Methedology Matrix'!B$29,2,IF(F311='Risk Methedology Matrix'!B$30,1,0)))))</f>
        <v>2</v>
      </c>
      <c r="I311" s="58">
        <f>IF(G311='Risk Methedology Matrix'!G$25,5,IF(G311='Risk Methedology Matrix'!F$25,4,IF(G311='Risk Methedology Matrix'!E$25,3,IF(G311='Risk Methedology Matrix'!D$25,2,IF(G311='Risk Methedology Matrix'!C$25,1,0)))))</f>
        <v>2</v>
      </c>
      <c r="J311" s="58" t="str">
        <f t="shared" si="28"/>
        <v>Low</v>
      </c>
      <c r="K311" s="172"/>
      <c r="L311" s="103" t="s">
        <v>85</v>
      </c>
      <c r="M311" s="58" t="str">
        <f t="shared" si="26"/>
        <v>Very Low</v>
      </c>
      <c r="N311" s="26"/>
      <c r="O311" s="26"/>
      <c r="P311" s="26"/>
      <c r="Q311" s="26"/>
      <c r="R311" s="26"/>
      <c r="S311" s="26"/>
      <c r="U311" s="26"/>
      <c r="V311" s="26"/>
    </row>
    <row r="312" spans="1:22" ht="24">
      <c r="A312" s="186" t="s">
        <v>1230</v>
      </c>
      <c r="B312" s="256" t="s">
        <v>79</v>
      </c>
      <c r="C312" s="186" t="s">
        <v>1258</v>
      </c>
      <c r="D312" s="172" t="s">
        <v>1272</v>
      </c>
      <c r="E312" s="172" t="s">
        <v>1288</v>
      </c>
      <c r="F312" s="47" t="s">
        <v>114</v>
      </c>
      <c r="G312" s="47" t="s">
        <v>104</v>
      </c>
      <c r="H312" s="58">
        <f>IF(F312='Risk Methedology Matrix'!B$26,5,IF(F312='Risk Methedology Matrix'!B$27,4,IF(F312='Risk Methedology Matrix'!B$28,3,IF(F312='Risk Methedology Matrix'!B$29,2,IF(F312='Risk Methedology Matrix'!B$30,1,0)))))</f>
        <v>3</v>
      </c>
      <c r="I312" s="58">
        <f>IF(G312='Risk Methedology Matrix'!G$25,5,IF(G312='Risk Methedology Matrix'!F$25,4,IF(G312='Risk Methedology Matrix'!E$25,3,IF(G312='Risk Methedology Matrix'!D$25,2,IF(G312='Risk Methedology Matrix'!C$25,1,0)))))</f>
        <v>3</v>
      </c>
      <c r="J312" s="58" t="str">
        <f t="shared" si="28"/>
        <v>Medium</v>
      </c>
      <c r="K312" s="172" t="s">
        <v>1311</v>
      </c>
      <c r="L312" s="103" t="s">
        <v>169</v>
      </c>
      <c r="M312" s="58" t="str">
        <f t="shared" si="26"/>
        <v>Very Low</v>
      </c>
      <c r="N312" s="26"/>
      <c r="O312" s="26"/>
      <c r="P312" s="26"/>
      <c r="Q312" s="26"/>
      <c r="R312" s="26"/>
      <c r="S312" s="26"/>
      <c r="U312" s="26"/>
      <c r="V312" s="26"/>
    </row>
    <row r="313" spans="1:22" ht="12.5">
      <c r="A313" s="186" t="s">
        <v>1231</v>
      </c>
      <c r="B313" s="256" t="s">
        <v>79</v>
      </c>
      <c r="C313" s="186" t="s">
        <v>1259</v>
      </c>
      <c r="D313" s="172" t="s">
        <v>1272</v>
      </c>
      <c r="E313" s="172" t="s">
        <v>1289</v>
      </c>
      <c r="F313" s="47" t="s">
        <v>114</v>
      </c>
      <c r="G313" s="47" t="s">
        <v>160</v>
      </c>
      <c r="H313" s="58">
        <f>IF(F313='Risk Methedology Matrix'!B$26,5,IF(F313='Risk Methedology Matrix'!B$27,4,IF(F313='Risk Methedology Matrix'!B$28,3,IF(F313='Risk Methedology Matrix'!B$29,2,IF(F313='Risk Methedology Matrix'!B$30,1,0)))))</f>
        <v>3</v>
      </c>
      <c r="I313" s="58">
        <f>IF(G313='Risk Methedology Matrix'!G$25,5,IF(G313='Risk Methedology Matrix'!F$25,4,IF(G313='Risk Methedology Matrix'!E$25,3,IF(G313='Risk Methedology Matrix'!D$25,2,IF(G313='Risk Methedology Matrix'!C$25,1,0)))))</f>
        <v>1</v>
      </c>
      <c r="J313" s="58" t="str">
        <f t="shared" si="28"/>
        <v>Low</v>
      </c>
      <c r="K313" s="172"/>
      <c r="L313" s="103" t="s">
        <v>85</v>
      </c>
      <c r="M313" s="58" t="str">
        <f t="shared" si="26"/>
        <v>Very Low</v>
      </c>
      <c r="N313" s="26"/>
      <c r="O313" s="26"/>
      <c r="P313" s="26"/>
      <c r="Q313" s="26"/>
      <c r="R313" s="26"/>
      <c r="S313" s="26"/>
      <c r="U313" s="26"/>
      <c r="V313" s="26"/>
    </row>
    <row r="314" spans="1:22" ht="24">
      <c r="A314" s="186" t="s">
        <v>1232</v>
      </c>
      <c r="B314" s="256" t="s">
        <v>79</v>
      </c>
      <c r="C314" s="172" t="s">
        <v>1260</v>
      </c>
      <c r="D314" s="172" t="s">
        <v>1272</v>
      </c>
      <c r="E314" s="172" t="s">
        <v>1290</v>
      </c>
      <c r="F314" s="47" t="s">
        <v>114</v>
      </c>
      <c r="G314" s="47" t="s">
        <v>104</v>
      </c>
      <c r="H314" s="58">
        <f>IF(F314='Risk Methedology Matrix'!B$26,5,IF(F314='Risk Methedology Matrix'!B$27,4,IF(F314='Risk Methedology Matrix'!B$28,3,IF(F314='Risk Methedology Matrix'!B$29,2,IF(F314='Risk Methedology Matrix'!B$30,1,0)))))</f>
        <v>3</v>
      </c>
      <c r="I314" s="58">
        <f>IF(G314='Risk Methedology Matrix'!G$25,5,IF(G314='Risk Methedology Matrix'!F$25,4,IF(G314='Risk Methedology Matrix'!E$25,3,IF(G314='Risk Methedology Matrix'!D$25,2,IF(G314='Risk Methedology Matrix'!C$25,1,0)))))</f>
        <v>3</v>
      </c>
      <c r="J314" s="58" t="str">
        <f t="shared" si="28"/>
        <v>Medium</v>
      </c>
      <c r="K314" s="172" t="s">
        <v>1312</v>
      </c>
      <c r="L314" s="103" t="s">
        <v>169</v>
      </c>
      <c r="M314" s="58" t="str">
        <f t="shared" si="26"/>
        <v>Very Low</v>
      </c>
      <c r="N314" s="26"/>
      <c r="O314" s="26"/>
      <c r="P314" s="26"/>
      <c r="Q314" s="26"/>
      <c r="R314" s="26"/>
      <c r="S314" s="26"/>
      <c r="U314" s="26"/>
      <c r="V314" s="26"/>
    </row>
    <row r="315" spans="1:22" ht="24">
      <c r="A315" s="186" t="s">
        <v>1233</v>
      </c>
      <c r="B315" s="256" t="s">
        <v>79</v>
      </c>
      <c r="C315" s="186" t="s">
        <v>1261</v>
      </c>
      <c r="D315" s="172" t="s">
        <v>1272</v>
      </c>
      <c r="E315" s="172" t="s">
        <v>1291</v>
      </c>
      <c r="F315" s="47" t="s">
        <v>114</v>
      </c>
      <c r="G315" s="47" t="s">
        <v>161</v>
      </c>
      <c r="H315" s="58">
        <f>IF(F315='Risk Methedology Matrix'!B$26,5,IF(F315='Risk Methedology Matrix'!B$27,4,IF(F315='Risk Methedology Matrix'!B$28,3,IF(F315='Risk Methedology Matrix'!B$29,2,IF(F315='Risk Methedology Matrix'!B$30,1,0)))))</f>
        <v>3</v>
      </c>
      <c r="I315" s="58">
        <f>IF(G315='Risk Methedology Matrix'!G$25,5,IF(G315='Risk Methedology Matrix'!F$25,4,IF(G315='Risk Methedology Matrix'!E$25,3,IF(G315='Risk Methedology Matrix'!D$25,2,IF(G315='Risk Methedology Matrix'!C$25,1,0)))))</f>
        <v>2</v>
      </c>
      <c r="J315" s="58" t="str">
        <f t="shared" si="28"/>
        <v>Medium</v>
      </c>
      <c r="K315" s="172" t="s">
        <v>1313</v>
      </c>
      <c r="L315" s="103" t="s">
        <v>85</v>
      </c>
      <c r="M315" s="58" t="str">
        <f t="shared" si="26"/>
        <v>Low</v>
      </c>
      <c r="N315" s="26"/>
      <c r="O315" s="26"/>
      <c r="P315" s="26"/>
      <c r="Q315" s="26"/>
      <c r="R315" s="26"/>
      <c r="S315" s="26"/>
      <c r="U315" s="26"/>
      <c r="V315" s="26"/>
    </row>
    <row r="316" spans="1:22" ht="24">
      <c r="A316" s="186" t="s">
        <v>1234</v>
      </c>
      <c r="B316" s="256" t="s">
        <v>88</v>
      </c>
      <c r="C316" s="172" t="s">
        <v>1262</v>
      </c>
      <c r="D316" s="172" t="s">
        <v>1273</v>
      </c>
      <c r="E316" s="172" t="s">
        <v>1292</v>
      </c>
      <c r="F316" s="47" t="s">
        <v>83</v>
      </c>
      <c r="G316" s="47" t="s">
        <v>104</v>
      </c>
      <c r="H316" s="58">
        <f>IF(F316='Risk Methedology Matrix'!B$26,5,IF(F316='Risk Methedology Matrix'!B$27,4,IF(F316='Risk Methedology Matrix'!B$28,3,IF(F316='Risk Methedology Matrix'!B$29,2,IF(F316='Risk Methedology Matrix'!B$30,1,0)))))</f>
        <v>4</v>
      </c>
      <c r="I316" s="58">
        <f>IF(G316='Risk Methedology Matrix'!G$25,5,IF(G316='Risk Methedology Matrix'!F$25,4,IF(G316='Risk Methedology Matrix'!E$25,3,IF(G316='Risk Methedology Matrix'!D$25,2,IF(G316='Risk Methedology Matrix'!C$25,1,0)))))</f>
        <v>3</v>
      </c>
      <c r="J316" s="58" t="str">
        <f t="shared" si="28"/>
        <v>High</v>
      </c>
      <c r="K316" s="172" t="s">
        <v>1314</v>
      </c>
      <c r="L316" s="103" t="s">
        <v>169</v>
      </c>
      <c r="M316" s="58" t="str">
        <f t="shared" si="26"/>
        <v>Low</v>
      </c>
      <c r="N316" s="26"/>
      <c r="O316" s="26"/>
      <c r="P316" s="26"/>
      <c r="Q316" s="26"/>
      <c r="R316" s="26"/>
      <c r="S316" s="26"/>
      <c r="U316" s="26"/>
      <c r="V316" s="26"/>
    </row>
    <row r="317" spans="1:22" ht="24">
      <c r="A317" s="186" t="s">
        <v>1235</v>
      </c>
      <c r="B317" s="256" t="s">
        <v>79</v>
      </c>
      <c r="C317" s="172" t="s">
        <v>1263</v>
      </c>
      <c r="D317" s="172" t="s">
        <v>1273</v>
      </c>
      <c r="E317" s="172" t="s">
        <v>1293</v>
      </c>
      <c r="F317" s="47" t="s">
        <v>114</v>
      </c>
      <c r="G317" s="47" t="s">
        <v>160</v>
      </c>
      <c r="H317" s="58">
        <f>IF(F317='Risk Methedology Matrix'!B$26,5,IF(F317='Risk Methedology Matrix'!B$27,4,IF(F317='Risk Methedology Matrix'!B$28,3,IF(F317='Risk Methedology Matrix'!B$29,2,IF(F317='Risk Methedology Matrix'!B$30,1,0)))))</f>
        <v>3</v>
      </c>
      <c r="I317" s="58">
        <f>IF(G317='Risk Methedology Matrix'!G$25,5,IF(G317='Risk Methedology Matrix'!F$25,4,IF(G317='Risk Methedology Matrix'!E$25,3,IF(G317='Risk Methedology Matrix'!D$25,2,IF(G317='Risk Methedology Matrix'!C$25,1,0)))))</f>
        <v>1</v>
      </c>
      <c r="J317" s="58" t="str">
        <f t="shared" si="28"/>
        <v>Low</v>
      </c>
      <c r="K317" s="172"/>
      <c r="L317" s="103" t="s">
        <v>85</v>
      </c>
      <c r="M317" s="58" t="str">
        <f t="shared" si="26"/>
        <v>Very Low</v>
      </c>
      <c r="N317" s="26"/>
      <c r="O317" s="26"/>
      <c r="P317" s="26"/>
      <c r="Q317" s="26"/>
      <c r="R317" s="26"/>
      <c r="S317" s="26"/>
      <c r="U317" s="26"/>
      <c r="V317" s="26"/>
    </row>
    <row r="318" spans="1:22" ht="24">
      <c r="A318" s="186" t="s">
        <v>1236</v>
      </c>
      <c r="B318" s="256" t="s">
        <v>79</v>
      </c>
      <c r="C318" s="172" t="s">
        <v>1264</v>
      </c>
      <c r="D318" s="172" t="s">
        <v>1273</v>
      </c>
      <c r="E318" s="172" t="s">
        <v>1294</v>
      </c>
      <c r="F318" s="47" t="s">
        <v>83</v>
      </c>
      <c r="G318" s="47" t="s">
        <v>161</v>
      </c>
      <c r="H318" s="58">
        <f>IF(F318='Risk Methedology Matrix'!B$26,5,IF(F318='Risk Methedology Matrix'!B$27,4,IF(F318='Risk Methedology Matrix'!B$28,3,IF(F318='Risk Methedology Matrix'!B$29,2,IF(F318='Risk Methedology Matrix'!B$30,1,0)))))</f>
        <v>4</v>
      </c>
      <c r="I318" s="58">
        <f>IF(G318='Risk Methedology Matrix'!G$25,5,IF(G318='Risk Methedology Matrix'!F$25,4,IF(G318='Risk Methedology Matrix'!E$25,3,IF(G318='Risk Methedology Matrix'!D$25,2,IF(G318='Risk Methedology Matrix'!C$25,1,0)))))</f>
        <v>2</v>
      </c>
      <c r="J318" s="58" t="str">
        <f t="shared" si="28"/>
        <v>Medium</v>
      </c>
      <c r="K318" s="172" t="s">
        <v>1315</v>
      </c>
      <c r="L318" s="103" t="s">
        <v>169</v>
      </c>
      <c r="M318" s="58" t="str">
        <f t="shared" si="26"/>
        <v>Very Low</v>
      </c>
      <c r="N318" s="26"/>
      <c r="O318" s="26"/>
      <c r="P318" s="26"/>
      <c r="Q318" s="26"/>
      <c r="R318" s="26"/>
      <c r="S318" s="26"/>
      <c r="U318" s="26"/>
      <c r="V318" s="26"/>
    </row>
    <row r="319" spans="1:22" ht="24">
      <c r="A319" s="186" t="s">
        <v>1237</v>
      </c>
      <c r="B319" s="256" t="s">
        <v>88</v>
      </c>
      <c r="C319" s="172" t="s">
        <v>1265</v>
      </c>
      <c r="D319" s="172" t="s">
        <v>1273</v>
      </c>
      <c r="E319" s="172" t="s">
        <v>1295</v>
      </c>
      <c r="F319" s="47" t="s">
        <v>114</v>
      </c>
      <c r="G319" s="47" t="s">
        <v>161</v>
      </c>
      <c r="H319" s="58">
        <f>IF(F319='Risk Methedology Matrix'!B$26,5,IF(F319='Risk Methedology Matrix'!B$27,4,IF(F319='Risk Methedology Matrix'!B$28,3,IF(F319='Risk Methedology Matrix'!B$29,2,IF(F319='Risk Methedology Matrix'!B$30,1,0)))))</f>
        <v>3</v>
      </c>
      <c r="I319" s="58">
        <f>IF(G319='Risk Methedology Matrix'!G$25,5,IF(G319='Risk Methedology Matrix'!F$25,4,IF(G319='Risk Methedology Matrix'!E$25,3,IF(G319='Risk Methedology Matrix'!D$25,2,IF(G319='Risk Methedology Matrix'!C$25,1,0)))))</f>
        <v>2</v>
      </c>
      <c r="J319" s="58" t="str">
        <f t="shared" si="28"/>
        <v>Medium</v>
      </c>
      <c r="K319" s="172" t="s">
        <v>1316</v>
      </c>
      <c r="L319" s="103" t="s">
        <v>93</v>
      </c>
      <c r="M319" s="58" t="str">
        <f t="shared" si="26"/>
        <v>Medium</v>
      </c>
      <c r="N319" s="26"/>
      <c r="O319" s="26"/>
      <c r="P319" s="26"/>
      <c r="Q319" s="26"/>
      <c r="R319" s="26"/>
      <c r="S319" s="26"/>
      <c r="U319" s="26"/>
      <c r="V319" s="26"/>
    </row>
    <row r="320" spans="1:22" ht="24">
      <c r="A320" s="186" t="s">
        <v>1238</v>
      </c>
      <c r="B320" s="256" t="s">
        <v>79</v>
      </c>
      <c r="C320" s="172" t="s">
        <v>1266</v>
      </c>
      <c r="D320" s="172" t="s">
        <v>1273</v>
      </c>
      <c r="E320" s="172" t="s">
        <v>1296</v>
      </c>
      <c r="F320" s="47" t="s">
        <v>83</v>
      </c>
      <c r="G320" s="47" t="s">
        <v>161</v>
      </c>
      <c r="H320" s="58">
        <f>IF(F320='Risk Methedology Matrix'!B$26,5,IF(F320='Risk Methedology Matrix'!B$27,4,IF(F320='Risk Methedology Matrix'!B$28,3,IF(F320='Risk Methedology Matrix'!B$29,2,IF(F320='Risk Methedology Matrix'!B$30,1,0)))))</f>
        <v>4</v>
      </c>
      <c r="I320" s="58">
        <f>IF(G320='Risk Methedology Matrix'!G$25,5,IF(G320='Risk Methedology Matrix'!F$25,4,IF(G320='Risk Methedology Matrix'!E$25,3,IF(G320='Risk Methedology Matrix'!D$25,2,IF(G320='Risk Methedology Matrix'!C$25,1,0)))))</f>
        <v>2</v>
      </c>
      <c r="J320" s="58" t="str">
        <f t="shared" si="28"/>
        <v>Medium</v>
      </c>
      <c r="K320" s="172" t="s">
        <v>1317</v>
      </c>
      <c r="L320" s="103" t="s">
        <v>85</v>
      </c>
      <c r="M320" s="58" t="str">
        <f t="shared" si="26"/>
        <v>Low</v>
      </c>
      <c r="N320" s="26"/>
      <c r="O320" s="26"/>
      <c r="P320" s="26"/>
      <c r="Q320" s="26"/>
      <c r="R320" s="26"/>
      <c r="S320" s="26"/>
      <c r="U320" s="26"/>
      <c r="V320" s="26"/>
    </row>
    <row r="321" spans="1:22" ht="24">
      <c r="A321" s="186" t="s">
        <v>1239</v>
      </c>
      <c r="B321" s="256" t="s">
        <v>79</v>
      </c>
      <c r="C321" s="172" t="s">
        <v>1267</v>
      </c>
      <c r="D321" s="172" t="s">
        <v>1273</v>
      </c>
      <c r="E321" s="172" t="s">
        <v>1297</v>
      </c>
      <c r="F321" s="47" t="s">
        <v>83</v>
      </c>
      <c r="G321" s="47" t="s">
        <v>104</v>
      </c>
      <c r="H321" s="58">
        <f>IF(F321='Risk Methedology Matrix'!B$26,5,IF(F321='Risk Methedology Matrix'!B$27,4,IF(F321='Risk Methedology Matrix'!B$28,3,IF(F321='Risk Methedology Matrix'!B$29,2,IF(F321='Risk Methedology Matrix'!B$30,1,0)))))</f>
        <v>4</v>
      </c>
      <c r="I321" s="58">
        <f>IF(G321='Risk Methedology Matrix'!G$25,5,IF(G321='Risk Methedology Matrix'!F$25,4,IF(G321='Risk Methedology Matrix'!E$25,3,IF(G321='Risk Methedology Matrix'!D$25,2,IF(G321='Risk Methedology Matrix'!C$25,1,0)))))</f>
        <v>3</v>
      </c>
      <c r="J321" s="58" t="str">
        <f t="shared" si="28"/>
        <v>High</v>
      </c>
      <c r="K321" s="172" t="s">
        <v>1318</v>
      </c>
      <c r="L321" s="103" t="s">
        <v>169</v>
      </c>
      <c r="M321" s="58" t="str">
        <f t="shared" si="26"/>
        <v>Low</v>
      </c>
      <c r="N321" s="26"/>
      <c r="O321" s="26"/>
      <c r="P321" s="26"/>
      <c r="Q321" s="26"/>
      <c r="R321" s="26"/>
      <c r="S321" s="26"/>
      <c r="U321" s="26"/>
      <c r="V321" s="26"/>
    </row>
    <row r="322" spans="1:22" ht="24">
      <c r="A322" s="186" t="s">
        <v>1240</v>
      </c>
      <c r="B322" s="256" t="s">
        <v>117</v>
      </c>
      <c r="C322" s="172" t="s">
        <v>1268</v>
      </c>
      <c r="D322" s="172" t="s">
        <v>1273</v>
      </c>
      <c r="E322" s="172" t="s">
        <v>1298</v>
      </c>
      <c r="F322" s="47" t="s">
        <v>83</v>
      </c>
      <c r="G322" s="47" t="s">
        <v>161</v>
      </c>
      <c r="H322" s="58">
        <f>IF(F322='Risk Methedology Matrix'!B$26,5,IF(F322='Risk Methedology Matrix'!B$27,4,IF(F322='Risk Methedology Matrix'!B$28,3,IF(F322='Risk Methedology Matrix'!B$29,2,IF(F322='Risk Methedology Matrix'!B$30,1,0)))))</f>
        <v>4</v>
      </c>
      <c r="I322" s="58">
        <f>IF(G322='Risk Methedology Matrix'!G$25,5,IF(G322='Risk Methedology Matrix'!F$25,4,IF(G322='Risk Methedology Matrix'!E$25,3,IF(G322='Risk Methedology Matrix'!D$25,2,IF(G322='Risk Methedology Matrix'!C$25,1,0)))))</f>
        <v>2</v>
      </c>
      <c r="J322" s="58" t="str">
        <f t="shared" si="28"/>
        <v>Medium</v>
      </c>
      <c r="K322" s="172" t="s">
        <v>1319</v>
      </c>
      <c r="L322" s="103" t="s">
        <v>169</v>
      </c>
      <c r="M322" s="58" t="str">
        <f t="shared" si="26"/>
        <v>Very Low</v>
      </c>
      <c r="N322" s="26"/>
      <c r="O322" s="26"/>
      <c r="P322" s="26"/>
      <c r="Q322" s="26"/>
      <c r="R322" s="26"/>
      <c r="S322" s="26"/>
      <c r="U322" s="26"/>
      <c r="V322" s="26"/>
    </row>
    <row r="323" spans="1:22" ht="24">
      <c r="A323" s="186" t="s">
        <v>1241</v>
      </c>
      <c r="B323" s="256" t="s">
        <v>117</v>
      </c>
      <c r="C323" s="172" t="s">
        <v>1269</v>
      </c>
      <c r="D323" s="172" t="s">
        <v>1273</v>
      </c>
      <c r="E323" s="172" t="s">
        <v>1299</v>
      </c>
      <c r="F323" s="47" t="s">
        <v>83</v>
      </c>
      <c r="G323" s="47" t="s">
        <v>161</v>
      </c>
      <c r="H323" s="58">
        <f>IF(F323='Risk Methedology Matrix'!B$26,5,IF(F323='Risk Methedology Matrix'!B$27,4,IF(F323='Risk Methedology Matrix'!B$28,3,IF(F323='Risk Methedology Matrix'!B$29,2,IF(F323='Risk Methedology Matrix'!B$30,1,0)))))</f>
        <v>4</v>
      </c>
      <c r="I323" s="58">
        <f>IF(G323='Risk Methedology Matrix'!G$25,5,IF(G323='Risk Methedology Matrix'!F$25,4,IF(G323='Risk Methedology Matrix'!E$25,3,IF(G323='Risk Methedology Matrix'!D$25,2,IF(G323='Risk Methedology Matrix'!C$25,1,0)))))</f>
        <v>2</v>
      </c>
      <c r="J323" s="58" t="str">
        <f t="shared" si="28"/>
        <v>Medium</v>
      </c>
      <c r="K323" s="172" t="s">
        <v>1320</v>
      </c>
      <c r="L323" s="103" t="s">
        <v>169</v>
      </c>
      <c r="M323" s="58" t="str">
        <f t="shared" si="26"/>
        <v>Very Low</v>
      </c>
      <c r="N323" s="26"/>
      <c r="O323" s="26"/>
      <c r="P323" s="26"/>
      <c r="Q323" s="26"/>
      <c r="R323" s="26"/>
      <c r="S323" s="26"/>
      <c r="U323" s="26"/>
      <c r="V323" s="26"/>
    </row>
    <row r="324" spans="1:22" ht="24">
      <c r="A324" s="186" t="s">
        <v>1242</v>
      </c>
      <c r="B324" s="256" t="s">
        <v>79</v>
      </c>
      <c r="C324" s="172" t="s">
        <v>1270</v>
      </c>
      <c r="D324" s="172" t="s">
        <v>1273</v>
      </c>
      <c r="E324" s="172" t="s">
        <v>1300</v>
      </c>
      <c r="F324" s="47" t="s">
        <v>83</v>
      </c>
      <c r="G324" s="47" t="s">
        <v>161</v>
      </c>
      <c r="H324" s="58">
        <f>IF(F324='Risk Methedology Matrix'!B$26,5,IF(F324='Risk Methedology Matrix'!B$27,4,IF(F324='Risk Methedology Matrix'!B$28,3,IF(F324='Risk Methedology Matrix'!B$29,2,IF(F324='Risk Methedology Matrix'!B$30,1,0)))))</f>
        <v>4</v>
      </c>
      <c r="I324" s="58">
        <f>IF(G324='Risk Methedology Matrix'!G$25,5,IF(G324='Risk Methedology Matrix'!F$25,4,IF(G324='Risk Methedology Matrix'!E$25,3,IF(G324='Risk Methedology Matrix'!D$25,2,IF(G324='Risk Methedology Matrix'!C$25,1,0)))))</f>
        <v>2</v>
      </c>
      <c r="J324" s="58" t="str">
        <f t="shared" si="28"/>
        <v>Medium</v>
      </c>
      <c r="K324" s="172" t="s">
        <v>1321</v>
      </c>
      <c r="L324" s="103" t="s">
        <v>85</v>
      </c>
      <c r="M324" s="58" t="str">
        <f t="shared" si="26"/>
        <v>Low</v>
      </c>
      <c r="N324" s="26"/>
      <c r="O324" s="26"/>
      <c r="P324" s="26"/>
      <c r="Q324" s="26"/>
      <c r="R324" s="26"/>
      <c r="S324" s="26"/>
      <c r="U324" s="26"/>
      <c r="V324" s="26"/>
    </row>
    <row r="325" spans="1:22" ht="24">
      <c r="A325" s="186" t="s">
        <v>1243</v>
      </c>
      <c r="B325" s="256" t="s">
        <v>117</v>
      </c>
      <c r="C325" s="172" t="s">
        <v>1271</v>
      </c>
      <c r="D325" s="172" t="s">
        <v>1273</v>
      </c>
      <c r="E325" s="172" t="s">
        <v>1301</v>
      </c>
      <c r="F325" s="47" t="s">
        <v>83</v>
      </c>
      <c r="G325" s="47" t="s">
        <v>161</v>
      </c>
      <c r="H325" s="58">
        <f>IF(F325='Risk Methedology Matrix'!B$26,5,IF(F325='Risk Methedology Matrix'!B$27,4,IF(F325='Risk Methedology Matrix'!B$28,3,IF(F325='Risk Methedology Matrix'!B$29,2,IF(F325='Risk Methedology Matrix'!B$30,1,0)))))</f>
        <v>4</v>
      </c>
      <c r="I325" s="58">
        <f>IF(G325='Risk Methedology Matrix'!G$25,5,IF(G325='Risk Methedology Matrix'!F$25,4,IF(G325='Risk Methedology Matrix'!E$25,3,IF(G325='Risk Methedology Matrix'!D$25,2,IF(G325='Risk Methedology Matrix'!C$25,1,0)))))</f>
        <v>2</v>
      </c>
      <c r="J325" s="58" t="str">
        <f t="shared" si="28"/>
        <v>Medium</v>
      </c>
      <c r="K325" s="172" t="s">
        <v>1322</v>
      </c>
      <c r="L325" s="103" t="s">
        <v>169</v>
      </c>
      <c r="M325" s="58" t="str">
        <f t="shared" si="26"/>
        <v>Very Low</v>
      </c>
      <c r="N325" s="26"/>
      <c r="O325" s="26"/>
      <c r="P325" s="26"/>
      <c r="Q325" s="26"/>
      <c r="R325" s="26"/>
      <c r="S325" s="26"/>
      <c r="U325" s="26"/>
      <c r="V325" s="26"/>
    </row>
    <row r="326" spans="1:22" ht="37.5">
      <c r="A326" s="186" t="s">
        <v>1326</v>
      </c>
      <c r="B326" s="256" t="s">
        <v>88</v>
      </c>
      <c r="C326" s="172" t="s">
        <v>1327</v>
      </c>
      <c r="D326" s="172" t="s">
        <v>1358</v>
      </c>
      <c r="E326" s="172" t="s">
        <v>1359</v>
      </c>
      <c r="F326" s="124" t="s">
        <v>83</v>
      </c>
      <c r="G326" s="125" t="s">
        <v>161</v>
      </c>
      <c r="H326" s="58">
        <v>4</v>
      </c>
      <c r="I326" s="58">
        <v>2</v>
      </c>
      <c r="J326" s="193" t="s">
        <v>163</v>
      </c>
      <c r="K326" s="129" t="s">
        <v>1375</v>
      </c>
      <c r="L326" s="181" t="s">
        <v>85</v>
      </c>
      <c r="M326" s="58" t="str">
        <f t="shared" si="26"/>
        <v>Low</v>
      </c>
      <c r="N326" s="181"/>
      <c r="O326" s="173"/>
      <c r="P326" s="186"/>
      <c r="Q326" s="187"/>
      <c r="R326" s="26"/>
      <c r="S326" s="26"/>
      <c r="U326" s="26"/>
      <c r="V326" s="26"/>
    </row>
    <row r="327" spans="1:22" ht="24">
      <c r="A327" s="186" t="s">
        <v>1328</v>
      </c>
      <c r="B327" s="297" t="s">
        <v>1387</v>
      </c>
      <c r="C327" s="172" t="s">
        <v>1329</v>
      </c>
      <c r="D327" s="172" t="s">
        <v>1358</v>
      </c>
      <c r="E327" s="172" t="s">
        <v>1360</v>
      </c>
      <c r="F327" s="180" t="s">
        <v>83</v>
      </c>
      <c r="G327" s="181" t="s">
        <v>104</v>
      </c>
      <c r="H327" s="58">
        <f>IF(F327='Risk Methedology Matrix'!B$26,5,IF(F327='Risk Methedology Matrix'!B$27,4,IF(F327='Risk Methedology Matrix'!B$28,3,IF(F327='Risk Methedology Matrix'!B$29,2,IF(F327='Risk Methedology Matrix'!B$30,1,0)))))</f>
        <v>4</v>
      </c>
      <c r="I327" s="58">
        <f>IF(G327='Risk Methedology Matrix'!G$25,5,IF(G327='Risk Methedology Matrix'!F$25,4,IF(G327='Risk Methedology Matrix'!E$25,3,IF(G327='Risk Methedology Matrix'!D$25,2,IF(G327='Risk Methedology Matrix'!C$25,1,0)))))</f>
        <v>3</v>
      </c>
      <c r="J327" s="58" t="str">
        <f t="shared" ref="J327:J343" si="29">IF(OR(F327="",G327=""),"",IF(H327*I327&gt;=20,"Very High",IF(AND(H327*I327&lt;20,H327*I327&gt;=11),"High",IF(AND(H327*I327&lt;11,H327*I327&gt;=6),"Medium",IF(AND(H327*I327&lt;6,H327*I327&gt;=3),"Low",IF(AND(H327*I327&lt;3,H327*I327&gt;=1),"Very Low",""))))))</f>
        <v>High</v>
      </c>
      <c r="K327" s="172" t="s">
        <v>1376</v>
      </c>
      <c r="L327" s="181" t="s">
        <v>85</v>
      </c>
      <c r="M327" s="58" t="str">
        <f t="shared" si="26"/>
        <v>Medium</v>
      </c>
      <c r="N327" s="181"/>
      <c r="O327" s="173"/>
      <c r="P327" s="186"/>
      <c r="Q327" s="183"/>
      <c r="R327" s="26"/>
      <c r="S327" s="26"/>
      <c r="U327" s="26"/>
      <c r="V327" s="26"/>
    </row>
    <row r="328" spans="1:22">
      <c r="A328" s="186" t="s">
        <v>1330</v>
      </c>
      <c r="B328" s="297" t="s">
        <v>1387</v>
      </c>
      <c r="C328" s="172" t="s">
        <v>1331</v>
      </c>
      <c r="D328" s="172" t="s">
        <v>1358</v>
      </c>
      <c r="E328" s="172" t="s">
        <v>1361</v>
      </c>
      <c r="F328" s="180" t="s">
        <v>83</v>
      </c>
      <c r="G328" s="181" t="s">
        <v>161</v>
      </c>
      <c r="H328" s="58">
        <f>IF(F328='Risk Methedology Matrix'!B$26,5,IF(F328='Risk Methedology Matrix'!B$27,4,IF(F328='Risk Methedology Matrix'!B$28,3,IF(F328='Risk Methedology Matrix'!B$29,2,IF(F328='Risk Methedology Matrix'!B$30,1,0)))))</f>
        <v>4</v>
      </c>
      <c r="I328" s="58">
        <f>IF(G328='Risk Methedology Matrix'!G$25,5,IF(G328='Risk Methedology Matrix'!F$25,4,IF(G328='Risk Methedology Matrix'!E$25,3,IF(G328='Risk Methedology Matrix'!D$25,2,IF(G328='Risk Methedology Matrix'!C$25,1,0)))))</f>
        <v>2</v>
      </c>
      <c r="J328" s="58" t="str">
        <f t="shared" si="29"/>
        <v>Medium</v>
      </c>
      <c r="K328" s="172" t="s">
        <v>1377</v>
      </c>
      <c r="L328" s="181" t="s">
        <v>85</v>
      </c>
      <c r="M328" s="58" t="str">
        <f t="shared" si="26"/>
        <v>Low</v>
      </c>
      <c r="N328" s="171"/>
      <c r="O328" s="173"/>
      <c r="P328" s="186"/>
      <c r="Q328" s="184"/>
      <c r="R328" s="26"/>
      <c r="S328" s="26"/>
      <c r="U328" s="26"/>
      <c r="V328" s="26"/>
    </row>
    <row r="329" spans="1:22" ht="24">
      <c r="A329" s="186" t="s">
        <v>1332</v>
      </c>
      <c r="B329" s="297" t="s">
        <v>1387</v>
      </c>
      <c r="C329" s="172" t="s">
        <v>1333</v>
      </c>
      <c r="D329" s="172" t="s">
        <v>1358</v>
      </c>
      <c r="E329" s="172" t="s">
        <v>1362</v>
      </c>
      <c r="F329" s="180" t="s">
        <v>83</v>
      </c>
      <c r="G329" s="181" t="s">
        <v>84</v>
      </c>
      <c r="H329" s="58">
        <f>IF(F329='Risk Methedology Matrix'!B$26,5,IF(F329='Risk Methedology Matrix'!B$27,4,IF(F329='Risk Methedology Matrix'!B$28,3,IF(F329='Risk Methedology Matrix'!B$29,2,IF(F329='Risk Methedology Matrix'!B$30,1,0)))))</f>
        <v>4</v>
      </c>
      <c r="I329" s="58">
        <f>IF(G329='Risk Methedology Matrix'!G$25,5,IF(G329='Risk Methedology Matrix'!F$25,4,IF(G329='Risk Methedology Matrix'!E$25,3,IF(G329='Risk Methedology Matrix'!D$25,2,IF(G329='Risk Methedology Matrix'!C$25,1,0)))))</f>
        <v>4</v>
      </c>
      <c r="J329" s="58" t="str">
        <f t="shared" si="29"/>
        <v>High</v>
      </c>
      <c r="K329" s="172" t="s">
        <v>1422</v>
      </c>
      <c r="L329" s="181" t="s">
        <v>85</v>
      </c>
      <c r="M329" s="58" t="str">
        <f t="shared" si="26"/>
        <v>Medium</v>
      </c>
      <c r="N329" s="181"/>
      <c r="O329" s="173"/>
      <c r="P329" s="186"/>
      <c r="Q329" s="173"/>
      <c r="R329" s="26"/>
      <c r="S329" s="26"/>
      <c r="U329" s="26"/>
      <c r="V329" s="26"/>
    </row>
    <row r="330" spans="1:22" ht="24">
      <c r="A330" s="186" t="s">
        <v>1334</v>
      </c>
      <c r="B330" s="297" t="s">
        <v>1387</v>
      </c>
      <c r="C330" s="172" t="s">
        <v>1335</v>
      </c>
      <c r="D330" s="172" t="s">
        <v>1358</v>
      </c>
      <c r="E330" s="172" t="s">
        <v>1363</v>
      </c>
      <c r="F330" s="180" t="s">
        <v>83</v>
      </c>
      <c r="G330" s="181" t="s">
        <v>104</v>
      </c>
      <c r="H330" s="58">
        <f>IF(F330='Risk Methedology Matrix'!B$26,5,IF(F330='Risk Methedology Matrix'!B$27,4,IF(F330='Risk Methedology Matrix'!B$28,3,IF(F330='Risk Methedology Matrix'!B$29,2,IF(F330='Risk Methedology Matrix'!B$30,1,0)))))</f>
        <v>4</v>
      </c>
      <c r="I330" s="58">
        <f>IF(G330='Risk Methedology Matrix'!G$25,5,IF(G330='Risk Methedology Matrix'!F$25,4,IF(G330='Risk Methedology Matrix'!E$25,3,IF(G330='Risk Methedology Matrix'!D$25,2,IF(G330='Risk Methedology Matrix'!C$25,1,0)))))</f>
        <v>3</v>
      </c>
      <c r="J330" s="58" t="str">
        <f t="shared" si="29"/>
        <v>High</v>
      </c>
      <c r="K330" s="172" t="s">
        <v>1378</v>
      </c>
      <c r="L330" s="181" t="s">
        <v>169</v>
      </c>
      <c r="M330" s="58" t="str">
        <f t="shared" si="26"/>
        <v>Low</v>
      </c>
      <c r="N330" s="181"/>
      <c r="O330" s="173"/>
      <c r="P330" s="186"/>
      <c r="Q330" s="173"/>
      <c r="R330" s="26"/>
      <c r="S330" s="26"/>
      <c r="U330" s="26"/>
      <c r="V330" s="26"/>
    </row>
    <row r="331" spans="1:22" ht="48">
      <c r="A331" s="186" t="s">
        <v>1336</v>
      </c>
      <c r="B331" s="297" t="s">
        <v>1387</v>
      </c>
      <c r="C331" s="172" t="s">
        <v>1337</v>
      </c>
      <c r="D331" s="172" t="s">
        <v>1358</v>
      </c>
      <c r="E331" s="172" t="s">
        <v>1364</v>
      </c>
      <c r="F331" s="180" t="s">
        <v>83</v>
      </c>
      <c r="G331" s="181" t="s">
        <v>161</v>
      </c>
      <c r="H331" s="58">
        <f>IF(F331='Risk Methedology Matrix'!B$26,5,IF(F331='Risk Methedology Matrix'!B$27,4,IF(F331='Risk Methedology Matrix'!B$28,3,IF(F331='Risk Methedology Matrix'!B$29,2,IF(F331='Risk Methedology Matrix'!B$30,1,0)))))</f>
        <v>4</v>
      </c>
      <c r="I331" s="58">
        <f>IF(G331='Risk Methedology Matrix'!G$25,5,IF(G331='Risk Methedology Matrix'!F$25,4,IF(G331='Risk Methedology Matrix'!E$25,3,IF(G331='Risk Methedology Matrix'!D$25,2,IF(G331='Risk Methedology Matrix'!C$25,1,0)))))</f>
        <v>2</v>
      </c>
      <c r="J331" s="58" t="str">
        <f t="shared" si="29"/>
        <v>Medium</v>
      </c>
      <c r="K331" s="172" t="s">
        <v>1379</v>
      </c>
      <c r="L331" s="181" t="s">
        <v>85</v>
      </c>
      <c r="M331" s="58" t="str">
        <f t="shared" si="26"/>
        <v>Low</v>
      </c>
      <c r="N331" s="181"/>
      <c r="O331" s="173"/>
      <c r="P331" s="186"/>
      <c r="Q331" s="173"/>
      <c r="R331" s="26"/>
      <c r="S331" s="26"/>
      <c r="U331" s="26"/>
      <c r="V331" s="26"/>
    </row>
    <row r="332" spans="1:22" ht="24">
      <c r="A332" s="186" t="s">
        <v>1338</v>
      </c>
      <c r="B332" s="297" t="s">
        <v>1387</v>
      </c>
      <c r="C332" s="172" t="s">
        <v>1339</v>
      </c>
      <c r="D332" s="172" t="s">
        <v>1358</v>
      </c>
      <c r="E332" s="172" t="s">
        <v>1365</v>
      </c>
      <c r="F332" s="180" t="s">
        <v>83</v>
      </c>
      <c r="G332" s="181" t="s">
        <v>161</v>
      </c>
      <c r="H332" s="58">
        <f>IF(F332='Risk Methedology Matrix'!B$26,5,IF(F332='Risk Methedology Matrix'!B$27,4,IF(F332='Risk Methedology Matrix'!B$28,3,IF(F332='Risk Methedology Matrix'!B$29,2,IF(F332='Risk Methedology Matrix'!B$30,1,0)))))</f>
        <v>4</v>
      </c>
      <c r="I332" s="58">
        <f>IF(G332='Risk Methedology Matrix'!G$25,5,IF(G332='Risk Methedology Matrix'!F$25,4,IF(G332='Risk Methedology Matrix'!E$25,3,IF(G332='Risk Methedology Matrix'!D$25,2,IF(G332='Risk Methedology Matrix'!C$25,1,0)))))</f>
        <v>2</v>
      </c>
      <c r="J332" s="58" t="str">
        <f t="shared" si="29"/>
        <v>Medium</v>
      </c>
      <c r="K332" s="172" t="s">
        <v>1380</v>
      </c>
      <c r="L332" s="181" t="s">
        <v>85</v>
      </c>
      <c r="M332" s="58" t="str">
        <f t="shared" si="26"/>
        <v>Low</v>
      </c>
      <c r="N332" s="181"/>
      <c r="O332" s="173"/>
      <c r="P332" s="186"/>
      <c r="Q332" s="173"/>
      <c r="R332" s="26"/>
      <c r="S332" s="26"/>
      <c r="U332" s="26"/>
      <c r="V332" s="26"/>
    </row>
    <row r="333" spans="1:22" ht="72">
      <c r="A333" s="186" t="s">
        <v>1340</v>
      </c>
      <c r="B333" s="297" t="s">
        <v>1387</v>
      </c>
      <c r="C333" s="172" t="s">
        <v>1341</v>
      </c>
      <c r="D333" s="172" t="s">
        <v>1358</v>
      </c>
      <c r="E333" s="172" t="s">
        <v>1366</v>
      </c>
      <c r="F333" s="180" t="s">
        <v>83</v>
      </c>
      <c r="G333" s="181" t="s">
        <v>161</v>
      </c>
      <c r="H333" s="58">
        <f>IF(F333='Risk Methedology Matrix'!B$26,5,IF(F333='Risk Methedology Matrix'!B$27,4,IF(F333='Risk Methedology Matrix'!B$28,3,IF(F333='Risk Methedology Matrix'!B$29,2,IF(F333='Risk Methedology Matrix'!B$30,1,0)))))</f>
        <v>4</v>
      </c>
      <c r="I333" s="58">
        <f>IF(G333='Risk Methedology Matrix'!G$25,5,IF(G333='Risk Methedology Matrix'!F$25,4,IF(G333='Risk Methedology Matrix'!E$25,3,IF(G333='Risk Methedology Matrix'!D$25,2,IF(G333='Risk Methedology Matrix'!C$25,1,0)))))</f>
        <v>2</v>
      </c>
      <c r="J333" s="58" t="str">
        <f t="shared" si="29"/>
        <v>Medium</v>
      </c>
      <c r="K333" s="172" t="s">
        <v>1381</v>
      </c>
      <c r="L333" s="181" t="s">
        <v>85</v>
      </c>
      <c r="M333" s="58" t="str">
        <f t="shared" si="26"/>
        <v>Low</v>
      </c>
      <c r="N333" s="181"/>
      <c r="O333" s="173"/>
      <c r="P333" s="186"/>
      <c r="Q333" s="182"/>
      <c r="R333" s="26"/>
      <c r="S333" s="26"/>
      <c r="U333" s="26"/>
      <c r="V333" s="26"/>
    </row>
    <row r="334" spans="1:22" ht="24">
      <c r="A334" s="186" t="s">
        <v>1342</v>
      </c>
      <c r="B334" s="297" t="s">
        <v>1387</v>
      </c>
      <c r="C334" s="172" t="s">
        <v>1347</v>
      </c>
      <c r="D334" s="172" t="s">
        <v>1358</v>
      </c>
      <c r="E334" s="172" t="s">
        <v>1367</v>
      </c>
      <c r="F334" s="180" t="s">
        <v>83</v>
      </c>
      <c r="G334" s="181" t="s">
        <v>161</v>
      </c>
      <c r="H334" s="58">
        <f>IF(F334='Risk Methedology Matrix'!B$26,5,IF(F334='Risk Methedology Matrix'!B$27,4,IF(F334='Risk Methedology Matrix'!B$28,3,IF(F334='Risk Methedology Matrix'!B$29,2,IF(F334='Risk Methedology Matrix'!B$30,1,0)))))</f>
        <v>4</v>
      </c>
      <c r="I334" s="58">
        <f>IF(G334='Risk Methedology Matrix'!G$25,5,IF(G334='Risk Methedology Matrix'!F$25,4,IF(G334='Risk Methedology Matrix'!E$25,3,IF(G334='Risk Methedology Matrix'!D$25,2,IF(G334='Risk Methedology Matrix'!C$25,1,0)))))</f>
        <v>2</v>
      </c>
      <c r="J334" s="58" t="str">
        <f t="shared" si="29"/>
        <v>Medium</v>
      </c>
      <c r="K334" s="172" t="s">
        <v>1382</v>
      </c>
      <c r="L334" s="181" t="s">
        <v>169</v>
      </c>
      <c r="M334" s="58" t="str">
        <f t="shared" si="26"/>
        <v>Very Low</v>
      </c>
      <c r="N334" s="181"/>
      <c r="O334" s="173"/>
      <c r="P334" s="186"/>
      <c r="Q334" s="173"/>
      <c r="R334" s="26"/>
      <c r="S334" s="26"/>
      <c r="U334" s="26"/>
      <c r="V334" s="26"/>
    </row>
    <row r="335" spans="1:22" ht="24">
      <c r="A335" s="186" t="s">
        <v>1343</v>
      </c>
      <c r="B335" s="297" t="s">
        <v>1387</v>
      </c>
      <c r="C335" s="172" t="s">
        <v>1350</v>
      </c>
      <c r="D335" s="172" t="s">
        <v>1358</v>
      </c>
      <c r="E335" s="172" t="s">
        <v>1368</v>
      </c>
      <c r="F335" s="180" t="s">
        <v>83</v>
      </c>
      <c r="G335" s="181" t="s">
        <v>104</v>
      </c>
      <c r="H335" s="58">
        <f>IF(F335='Risk Methedology Matrix'!B$26,5,IF(F335='Risk Methedology Matrix'!B$27,4,IF(F335='Risk Methedology Matrix'!B$28,3,IF(F335='Risk Methedology Matrix'!B$29,2,IF(F335='Risk Methedology Matrix'!B$30,1,0)))))</f>
        <v>4</v>
      </c>
      <c r="I335" s="58">
        <f>IF(G335='Risk Methedology Matrix'!G$25,5,IF(G335='Risk Methedology Matrix'!F$25,4,IF(G335='Risk Methedology Matrix'!E$25,3,IF(G335='Risk Methedology Matrix'!D$25,2,IF(G335='Risk Methedology Matrix'!C$25,1,0)))))</f>
        <v>3</v>
      </c>
      <c r="J335" s="58" t="str">
        <f t="shared" si="29"/>
        <v>High</v>
      </c>
      <c r="K335" s="172"/>
      <c r="L335" s="181" t="s">
        <v>85</v>
      </c>
      <c r="M335" s="58" t="str">
        <f t="shared" si="26"/>
        <v>Medium</v>
      </c>
      <c r="N335" s="181"/>
      <c r="O335" s="173"/>
      <c r="P335" s="186"/>
      <c r="Q335" s="185"/>
      <c r="R335" s="26"/>
      <c r="S335" s="26"/>
      <c r="U335" s="26"/>
      <c r="V335" s="26"/>
    </row>
    <row r="336" spans="1:22" ht="24">
      <c r="A336" s="186" t="s">
        <v>1344</v>
      </c>
      <c r="B336" s="297" t="s">
        <v>1387</v>
      </c>
      <c r="C336" s="172" t="s">
        <v>1352</v>
      </c>
      <c r="D336" s="172" t="s">
        <v>1358</v>
      </c>
      <c r="E336" s="172" t="s">
        <v>1369</v>
      </c>
      <c r="F336" s="180" t="s">
        <v>83</v>
      </c>
      <c r="G336" s="181" t="s">
        <v>161</v>
      </c>
      <c r="H336" s="58">
        <f>IF(F336='Risk Methedology Matrix'!B$26,5,IF(F336='Risk Methedology Matrix'!B$27,4,IF(F336='Risk Methedology Matrix'!B$28,3,IF(F336='Risk Methedology Matrix'!B$29,2,IF(F336='Risk Methedology Matrix'!B$30,1,0)))))</f>
        <v>4</v>
      </c>
      <c r="I336" s="58">
        <f>IF(G336='Risk Methedology Matrix'!G$25,5,IF(G336='Risk Methedology Matrix'!F$25,4,IF(G336='Risk Methedology Matrix'!E$25,3,IF(G336='Risk Methedology Matrix'!D$25,2,IF(G336='Risk Methedology Matrix'!C$25,1,0)))))</f>
        <v>2</v>
      </c>
      <c r="J336" s="58" t="str">
        <f t="shared" si="29"/>
        <v>Medium</v>
      </c>
      <c r="K336" s="172" t="s">
        <v>1383</v>
      </c>
      <c r="L336" s="181" t="s">
        <v>169</v>
      </c>
      <c r="M336" s="58" t="str">
        <f t="shared" si="26"/>
        <v>Very Low</v>
      </c>
      <c r="N336" s="181"/>
      <c r="O336" s="182"/>
      <c r="P336" s="186"/>
      <c r="Q336" s="165"/>
      <c r="R336" s="26"/>
      <c r="S336" s="26"/>
      <c r="U336" s="26"/>
      <c r="V336" s="26"/>
    </row>
    <row r="337" spans="1:22" ht="24">
      <c r="A337" s="186" t="s">
        <v>1345</v>
      </c>
      <c r="B337" s="297" t="s">
        <v>1387</v>
      </c>
      <c r="C337" s="172" t="s">
        <v>1353</v>
      </c>
      <c r="D337" s="172" t="s">
        <v>1358</v>
      </c>
      <c r="E337" s="172" t="s">
        <v>1370</v>
      </c>
      <c r="F337" s="180" t="s">
        <v>83</v>
      </c>
      <c r="G337" s="181" t="s">
        <v>104</v>
      </c>
      <c r="H337" s="58">
        <f>IF(F337='Risk Methedology Matrix'!B$26,5,IF(F337='Risk Methedology Matrix'!B$27,4,IF(F337='Risk Methedology Matrix'!B$28,3,IF(F337='Risk Methedology Matrix'!B$29,2,IF(F337='Risk Methedology Matrix'!B$30,1,0)))))</f>
        <v>4</v>
      </c>
      <c r="I337" s="58">
        <f>IF(G337='Risk Methedology Matrix'!G$25,5,IF(G337='Risk Methedology Matrix'!F$25,4,IF(G337='Risk Methedology Matrix'!E$25,3,IF(G337='Risk Methedology Matrix'!D$25,2,IF(G337='Risk Methedology Matrix'!C$25,1,0)))))</f>
        <v>3</v>
      </c>
      <c r="J337" s="58" t="str">
        <f t="shared" si="29"/>
        <v>High</v>
      </c>
      <c r="K337" s="172" t="s">
        <v>1423</v>
      </c>
      <c r="L337" s="181" t="s">
        <v>85</v>
      </c>
      <c r="M337" s="58" t="str">
        <f t="shared" si="26"/>
        <v>Medium</v>
      </c>
      <c r="N337" s="181"/>
      <c r="O337" s="182"/>
      <c r="P337" s="186"/>
      <c r="Q337" s="165"/>
      <c r="R337" s="26"/>
      <c r="S337" s="26"/>
      <c r="U337" s="26"/>
      <c r="V337" s="26"/>
    </row>
    <row r="338" spans="1:22" ht="48">
      <c r="A338" s="186" t="s">
        <v>1346</v>
      </c>
      <c r="B338" s="297" t="s">
        <v>1387</v>
      </c>
      <c r="C338" s="172" t="s">
        <v>1354</v>
      </c>
      <c r="D338" s="172" t="s">
        <v>1358</v>
      </c>
      <c r="E338" s="172" t="s">
        <v>1371</v>
      </c>
      <c r="F338" s="180" t="s">
        <v>83</v>
      </c>
      <c r="G338" s="181" t="s">
        <v>161</v>
      </c>
      <c r="H338" s="58">
        <f>IF(F338='Risk Methedology Matrix'!B$26,5,IF(F338='Risk Methedology Matrix'!B$27,4,IF(F338='Risk Methedology Matrix'!B$28,3,IF(F338='Risk Methedology Matrix'!B$29,2,IF(F338='Risk Methedology Matrix'!B$30,1,0)))))</f>
        <v>4</v>
      </c>
      <c r="I338" s="58">
        <f>IF(G338='Risk Methedology Matrix'!G$25,5,IF(G338='Risk Methedology Matrix'!F$25,4,IF(G338='Risk Methedology Matrix'!E$25,3,IF(G338='Risk Methedology Matrix'!D$25,2,IF(G338='Risk Methedology Matrix'!C$25,1,0)))))</f>
        <v>2</v>
      </c>
      <c r="J338" s="58" t="str">
        <f t="shared" si="29"/>
        <v>Medium</v>
      </c>
      <c r="K338" s="172"/>
      <c r="L338" s="181" t="s">
        <v>93</v>
      </c>
      <c r="M338" s="58" t="str">
        <f t="shared" si="26"/>
        <v>Medium</v>
      </c>
      <c r="N338" s="181"/>
      <c r="O338" s="182"/>
      <c r="P338" s="186"/>
      <c r="Q338" s="165"/>
      <c r="R338" s="26"/>
      <c r="S338" s="26"/>
      <c r="U338" s="26"/>
      <c r="V338" s="26"/>
    </row>
    <row r="339" spans="1:22" ht="96">
      <c r="A339" s="186" t="s">
        <v>1348</v>
      </c>
      <c r="B339" s="297" t="s">
        <v>1387</v>
      </c>
      <c r="C339" s="172" t="s">
        <v>1355</v>
      </c>
      <c r="D339" s="172" t="s">
        <v>1358</v>
      </c>
      <c r="E339" s="172" t="s">
        <v>1372</v>
      </c>
      <c r="F339" s="180" t="s">
        <v>83</v>
      </c>
      <c r="G339" s="181" t="s">
        <v>104</v>
      </c>
      <c r="H339" s="58">
        <f>IF(F339='Risk Methedology Matrix'!B$26,5,IF(F339='Risk Methedology Matrix'!B$27,4,IF(F339='Risk Methedology Matrix'!B$28,3,IF(F339='Risk Methedology Matrix'!B$29,2,IF(F339='Risk Methedology Matrix'!B$30,1,0)))))</f>
        <v>4</v>
      </c>
      <c r="I339" s="58">
        <f>IF(G339='Risk Methedology Matrix'!G$25,5,IF(G339='Risk Methedology Matrix'!F$25,4,IF(G339='Risk Methedology Matrix'!E$25,3,IF(G339='Risk Methedology Matrix'!D$25,2,IF(G339='Risk Methedology Matrix'!C$25,1,0)))))</f>
        <v>3</v>
      </c>
      <c r="J339" s="58" t="str">
        <f t="shared" si="29"/>
        <v>High</v>
      </c>
      <c r="K339" s="172"/>
      <c r="L339" s="181" t="s">
        <v>85</v>
      </c>
      <c r="M339" s="58" t="str">
        <f t="shared" si="26"/>
        <v>Medium</v>
      </c>
      <c r="N339" s="181"/>
      <c r="O339" s="182"/>
      <c r="P339" s="186"/>
      <c r="Q339" s="165"/>
      <c r="R339" s="26"/>
      <c r="S339" s="26"/>
      <c r="U339" s="26"/>
      <c r="V339" s="26"/>
    </row>
    <row r="340" spans="1:22" ht="60">
      <c r="A340" s="186" t="s">
        <v>1349</v>
      </c>
      <c r="B340" s="297" t="s">
        <v>1387</v>
      </c>
      <c r="C340" s="172" t="s">
        <v>1356</v>
      </c>
      <c r="D340" s="172" t="s">
        <v>1358</v>
      </c>
      <c r="E340" s="172" t="s">
        <v>1373</v>
      </c>
      <c r="F340" s="180" t="s">
        <v>83</v>
      </c>
      <c r="G340" s="181" t="s">
        <v>104</v>
      </c>
      <c r="H340" s="58">
        <f>IF(F340='Risk Methedology Matrix'!B$26,5,IF(F340='Risk Methedology Matrix'!B$27,4,IF(F340='Risk Methedology Matrix'!B$28,3,IF(F340='Risk Methedology Matrix'!B$29,2,IF(F340='Risk Methedology Matrix'!B$30,1,0)))))</f>
        <v>4</v>
      </c>
      <c r="I340" s="58">
        <f>IF(G340='Risk Methedology Matrix'!G$25,5,IF(G340='Risk Methedology Matrix'!F$25,4,IF(G340='Risk Methedology Matrix'!E$25,3,IF(G340='Risk Methedology Matrix'!D$25,2,IF(G340='Risk Methedology Matrix'!C$25,1,0)))))</f>
        <v>3</v>
      </c>
      <c r="J340" s="58" t="str">
        <f t="shared" si="29"/>
        <v>High</v>
      </c>
      <c r="K340" s="172" t="s">
        <v>1384</v>
      </c>
      <c r="L340" s="181" t="s">
        <v>85</v>
      </c>
      <c r="M340" s="58" t="str">
        <f t="shared" si="26"/>
        <v>Medium</v>
      </c>
      <c r="N340" s="181"/>
      <c r="O340" s="182"/>
      <c r="P340" s="186"/>
      <c r="Q340" s="165"/>
      <c r="R340" s="26"/>
      <c r="S340" s="26"/>
      <c r="U340" s="26"/>
      <c r="V340" s="26"/>
    </row>
    <row r="341" spans="1:22" ht="48">
      <c r="A341" s="241" t="s">
        <v>1351</v>
      </c>
      <c r="B341" s="297" t="s">
        <v>1387</v>
      </c>
      <c r="C341" s="237" t="s">
        <v>1357</v>
      </c>
      <c r="D341" s="237" t="s">
        <v>1358</v>
      </c>
      <c r="E341" s="237" t="s">
        <v>1374</v>
      </c>
      <c r="F341" s="238" t="s">
        <v>83</v>
      </c>
      <c r="G341" s="239" t="s">
        <v>104</v>
      </c>
      <c r="H341" s="102">
        <f>IF(F341='Risk Methedology Matrix'!B$26,5,IF(F341='Risk Methedology Matrix'!B$27,4,IF(F341='Risk Methedology Matrix'!B$28,3,IF(F341='Risk Methedology Matrix'!B$29,2,IF(F341='Risk Methedology Matrix'!B$30,1,0)))))</f>
        <v>4</v>
      </c>
      <c r="I341" s="102">
        <f>IF(G341='Risk Methedology Matrix'!G$25,5,IF(G341='Risk Methedology Matrix'!F$25,4,IF(G341='Risk Methedology Matrix'!E$25,3,IF(G341='Risk Methedology Matrix'!D$25,2,IF(G341='Risk Methedology Matrix'!C$25,1,0)))))</f>
        <v>3</v>
      </c>
      <c r="J341" s="102" t="str">
        <f t="shared" si="29"/>
        <v>High</v>
      </c>
      <c r="K341" s="237" t="s">
        <v>1385</v>
      </c>
      <c r="L341" s="239" t="s">
        <v>98</v>
      </c>
      <c r="M341" s="58" t="str">
        <f t="shared" si="26"/>
        <v>Very Low</v>
      </c>
      <c r="N341" s="239"/>
      <c r="O341" s="240"/>
      <c r="P341" s="241"/>
      <c r="Q341" s="242"/>
      <c r="R341" s="128"/>
      <c r="S341" s="128"/>
      <c r="U341" s="128"/>
      <c r="V341" s="128"/>
    </row>
    <row r="342" spans="1:22" ht="60">
      <c r="A342" s="241" t="s">
        <v>1850</v>
      </c>
      <c r="B342" s="297" t="s">
        <v>1387</v>
      </c>
      <c r="C342" s="237" t="s">
        <v>1851</v>
      </c>
      <c r="D342" s="237" t="s">
        <v>1358</v>
      </c>
      <c r="E342" s="237" t="s">
        <v>1852</v>
      </c>
      <c r="F342" s="47" t="s">
        <v>83</v>
      </c>
      <c r="G342" s="47" t="s">
        <v>84</v>
      </c>
      <c r="H342" s="102">
        <f>IF(F342='Risk Methedology Matrix'!B$26,5,IF(F342='Risk Methedology Matrix'!B$27,4,IF(F342='Risk Methedology Matrix'!B$28,3,IF(F342='Risk Methedology Matrix'!B$29,2,IF(F342='Risk Methedology Matrix'!B$30,1,0)))))</f>
        <v>4</v>
      </c>
      <c r="I342" s="102">
        <f>IF(G342='Risk Methedology Matrix'!G$25,5,IF(G342='Risk Methedology Matrix'!F$25,4,IF(G342='Risk Methedology Matrix'!E$25,3,IF(G342='Risk Methedology Matrix'!D$25,2,IF(G342='Risk Methedology Matrix'!C$25,1,0)))))</f>
        <v>4</v>
      </c>
      <c r="J342" s="102" t="str">
        <f t="shared" ref="J342" si="30">IF(OR(F342="",G342=""),"",IF(H342*I342&gt;=20,"Very High",IF(AND(H342*I342&lt;20,H342*I342&gt;=11),"High",IF(AND(H342*I342&lt;11,H342*I342&gt;=6),"Medium",IF(AND(H342*I342&lt;6,H342*I342&gt;=3),"Low",IF(AND(H342*I342&lt;3,H342*I342&gt;=1),"Very Low",""))))))</f>
        <v>High</v>
      </c>
      <c r="K342" s="237"/>
      <c r="L342" s="47" t="s">
        <v>170</v>
      </c>
      <c r="M342" s="58" t="str">
        <f t="shared" ref="M342" si="31">IF(OR(J342="",L342=""),"",
IF(AND(J342="Very High",L342="Excellent"),"Low",
IF(AND(J342="Very High",L342="Good"),"Medium",
IF(AND(J342="Very High",L342="Fair"),"High",
IF(AND(J342="Very High",L342="Poor"),"Very High",
IF(AND(J342="Very High",L342="Unsatisfactory"),"Very High",
IF(AND(J342="High",L342="Excellent"),"Very Low",
IF(AND(J342="High",L342="Good"),"Low",
IF(AND(J342="High",L342="Fair"),"Medium",
IF(AND(J342="High",L342="Poor"),"High",
IF(AND(J342="High",L342="Unsatisfactory"),"High",
IF(AND(J342="Medium",L342="Excellent"),"Very Low",
IF(AND(J342="Medium",L342="Good"),"Very Low",
IF(AND(J342="Medium",L342="Fair"),"Low",
IF(AND(J342="Medium",L342="Poor"),"Medium",
IF(AND(J342="Medium",L342="Unsatisfactory"),"Medium",
IF(AND(J342="Low",L342="Excellent"),"Very Low",
IF(AND(J342="Low",L342="Good"),"Very Low",
IF(AND(J342="Low",L342="Fair"),"Very Low",
IF(AND(J342="Low",L342="Poor"),"Low",
IF(AND(J342="Low",L342="Unsatisfactory"),"Low",
IF(AND(J342="Very Low",L342="Excellent"),"Very Low",
IF(AND(J342="Very Low",L342="Good"),"Very Low",
IF(AND(J342="Very Low",L342="Fair"),"Very Low",
IF(AND(J342="Very Low",L342="Poor"),"Very Low",
IF(AND(J342="Very Low",L342="Unsatisfactory"),"Very Low",""))))))))))))))))))))))))))</f>
        <v>High</v>
      </c>
      <c r="N342" s="239"/>
      <c r="O342" s="240"/>
      <c r="P342" s="241"/>
      <c r="Q342" s="242"/>
      <c r="R342" s="128"/>
      <c r="S342" s="128"/>
      <c r="U342" s="128"/>
      <c r="V342" s="128"/>
    </row>
    <row r="343" spans="1:22" ht="50">
      <c r="A343" s="243" t="s">
        <v>1443</v>
      </c>
      <c r="B343" s="243" t="s">
        <v>1459</v>
      </c>
      <c r="C343" s="298" t="s">
        <v>1532</v>
      </c>
      <c r="D343" s="308" t="s">
        <v>1473</v>
      </c>
      <c r="E343" s="243" t="s">
        <v>1483</v>
      </c>
      <c r="F343" s="47" t="s">
        <v>83</v>
      </c>
      <c r="G343" s="47" t="s">
        <v>92</v>
      </c>
      <c r="H343" s="58">
        <f>IF(F343='Risk Methedology Matrix'!B$26,5,IF(F343='Risk Methedology Matrix'!B$27,4,IF(F343='Risk Methedology Matrix'!B$28,3,IF(F343='Risk Methedology Matrix'!B$29,2,IF(F343='Risk Methedology Matrix'!B$30,1,0)))))</f>
        <v>4</v>
      </c>
      <c r="I343" s="58">
        <f>IF(G343='Risk Methedology Matrix'!G$25,5,IF(G343='Risk Methedology Matrix'!F$25,4,IF(G343='Risk Methedology Matrix'!E$25,3,IF(G343='Risk Methedology Matrix'!D$25,2,IF(G343='Risk Methedology Matrix'!C$25,1,0)))))</f>
        <v>5</v>
      </c>
      <c r="J343" s="58" t="str">
        <f t="shared" si="29"/>
        <v>Very High</v>
      </c>
      <c r="K343" s="245" t="s">
        <v>1504</v>
      </c>
      <c r="L343" s="47" t="s">
        <v>169</v>
      </c>
      <c r="M343" s="58" t="str">
        <f t="shared" si="26"/>
        <v>Medium</v>
      </c>
      <c r="N343" s="244"/>
      <c r="O343" s="246"/>
      <c r="P343" s="247"/>
      <c r="Q343" s="248"/>
      <c r="R343" s="26"/>
      <c r="S343" s="26"/>
      <c r="T343" s="26"/>
      <c r="U343" s="26"/>
      <c r="V343" s="26"/>
    </row>
    <row r="344" spans="1:22" ht="37.5">
      <c r="A344" s="245" t="s">
        <v>1444</v>
      </c>
      <c r="B344" s="245" t="s">
        <v>1459</v>
      </c>
      <c r="C344" s="298" t="s">
        <v>1533</v>
      </c>
      <c r="D344" s="308" t="s">
        <v>1473</v>
      </c>
      <c r="E344" s="245" t="s">
        <v>1484</v>
      </c>
      <c r="F344" s="47" t="s">
        <v>114</v>
      </c>
      <c r="G344" s="47" t="s">
        <v>92</v>
      </c>
      <c r="H344" s="58">
        <f>IF(F344='Risk Methedology Matrix'!B$26,5,IF(F344='Risk Methedology Matrix'!B$27,4,IF(F344='Risk Methedology Matrix'!B$28,3,IF(F344='Risk Methedology Matrix'!B$29,2,IF(F344='Risk Methedology Matrix'!B$30,1,0)))))</f>
        <v>3</v>
      </c>
      <c r="I344" s="58">
        <f>IF(G344='Risk Methedology Matrix'!G$25,5,IF(G344='Risk Methedology Matrix'!F$25,4,IF(G344='Risk Methedology Matrix'!E$25,3,IF(G344='Risk Methedology Matrix'!D$25,2,IF(G344='Risk Methedology Matrix'!C$25,1,0)))))</f>
        <v>5</v>
      </c>
      <c r="J344" s="58" t="str">
        <f t="shared" ref="J344" si="32">IF(OR(F344="",G344=""),"",IF(H344*I344&gt;=20,"Very High",IF(AND(H344*I344&lt;20,H344*I344&gt;=11),"High",IF(AND(H344*I344&lt;11,H344*I344&gt;=6),"Medium",IF(AND(H344*I344&lt;6,H344*I344&gt;=3),"Low",IF(AND(H344*I344&lt;3,H344*I344&gt;=1),"Very Low",""))))))</f>
        <v>High</v>
      </c>
      <c r="K344" s="245" t="s">
        <v>1505</v>
      </c>
      <c r="L344" s="47" t="s">
        <v>85</v>
      </c>
      <c r="M344" s="58" t="str">
        <f t="shared" si="26"/>
        <v>Medium</v>
      </c>
      <c r="N344" s="244"/>
      <c r="O344" s="246"/>
      <c r="P344" s="247"/>
      <c r="Q344" s="248"/>
      <c r="R344" s="26"/>
      <c r="S344" s="26"/>
      <c r="T344" s="26"/>
      <c r="U344" s="26"/>
      <c r="V344" s="26"/>
    </row>
    <row r="345" spans="1:22" ht="25">
      <c r="A345" s="245" t="s">
        <v>1445</v>
      </c>
      <c r="B345" s="245" t="s">
        <v>1459</v>
      </c>
      <c r="C345" s="298" t="s">
        <v>1534</v>
      </c>
      <c r="D345" s="308" t="s">
        <v>1386</v>
      </c>
      <c r="E345" s="245" t="s">
        <v>1485</v>
      </c>
      <c r="F345" s="47" t="s">
        <v>114</v>
      </c>
      <c r="G345" s="47" t="s">
        <v>84</v>
      </c>
      <c r="H345" s="58">
        <f>IF(F345='Risk Methedology Matrix'!B$26,5,IF(F345='Risk Methedology Matrix'!B$27,4,IF(F345='Risk Methedology Matrix'!B$28,3,IF(F345='Risk Methedology Matrix'!B$29,2,IF(F345='Risk Methedology Matrix'!B$30,1,0)))))</f>
        <v>3</v>
      </c>
      <c r="I345" s="58">
        <f>IF(G345='Risk Methedology Matrix'!G$25,5,IF(G345='Risk Methedology Matrix'!F$25,4,IF(G345='Risk Methedology Matrix'!E$25,3,IF(G345='Risk Methedology Matrix'!D$25,2,IF(G345='Risk Methedology Matrix'!C$25,1,0)))))</f>
        <v>4</v>
      </c>
      <c r="J345" s="58" t="str">
        <f t="shared" ref="J345" si="33">IF(OR(F345="",G345=""),"",IF(H345*I345&gt;=20,"Very High",IF(AND(H345*I345&lt;20,H345*I345&gt;=11),"High",IF(AND(H345*I345&lt;11,H345*I345&gt;=6),"Medium",IF(AND(H345*I345&lt;6,H345*I345&gt;=3),"Low",IF(AND(H345*I345&lt;3,H345*I345&gt;=1),"Very Low",""))))))</f>
        <v>High</v>
      </c>
      <c r="K345" s="245" t="s">
        <v>1506</v>
      </c>
      <c r="L345" s="47" t="s">
        <v>85</v>
      </c>
      <c r="M345" s="58" t="str">
        <f t="shared" si="26"/>
        <v>Medium</v>
      </c>
      <c r="N345" s="244"/>
      <c r="O345" s="246"/>
      <c r="P345" s="247"/>
      <c r="Q345" s="248"/>
      <c r="R345" s="26"/>
      <c r="S345" s="26"/>
      <c r="T345" s="26"/>
      <c r="U345" s="26"/>
      <c r="V345" s="26"/>
    </row>
    <row r="346" spans="1:22" ht="37.5">
      <c r="A346" s="243" t="s">
        <v>1446</v>
      </c>
      <c r="B346" s="243" t="s">
        <v>1460</v>
      </c>
      <c r="C346" s="299" t="s">
        <v>1535</v>
      </c>
      <c r="D346" s="308" t="s">
        <v>1474</v>
      </c>
      <c r="E346" s="243" t="s">
        <v>1486</v>
      </c>
      <c r="F346" s="47" t="s">
        <v>83</v>
      </c>
      <c r="G346" s="47" t="s">
        <v>92</v>
      </c>
      <c r="H346" s="58">
        <f>IF(F346='Risk Methedology Matrix'!B$26,5,IF(F346='Risk Methedology Matrix'!B$27,4,IF(F346='Risk Methedology Matrix'!B$28,3,IF(F346='Risk Methedology Matrix'!B$29,2,IF(F346='Risk Methedology Matrix'!B$30,1,0)))))</f>
        <v>4</v>
      </c>
      <c r="I346" s="58">
        <f>IF(G346='Risk Methedology Matrix'!G$25,5,IF(G346='Risk Methedology Matrix'!F$25,4,IF(G346='Risk Methedology Matrix'!E$25,3,IF(G346='Risk Methedology Matrix'!D$25,2,IF(G346='Risk Methedology Matrix'!C$25,1,0)))))</f>
        <v>5</v>
      </c>
      <c r="J346" s="58" t="str">
        <f t="shared" ref="J346" si="34">IF(OR(F346="",G346=""),"",IF(H346*I346&gt;=20,"Very High",IF(AND(H346*I346&lt;20,H346*I346&gt;=11),"High",IF(AND(H346*I346&lt;11,H346*I346&gt;=6),"Medium",IF(AND(H346*I346&lt;6,H346*I346&gt;=3),"Low",IF(AND(H346*I346&lt;3,H346*I346&gt;=1),"Very Low",""))))))</f>
        <v>Very High</v>
      </c>
      <c r="K346" s="245" t="s">
        <v>1507</v>
      </c>
      <c r="L346" s="47" t="s">
        <v>169</v>
      </c>
      <c r="M346" s="58" t="str">
        <f t="shared" si="26"/>
        <v>Medium</v>
      </c>
      <c r="N346" s="26"/>
      <c r="O346" s="26"/>
      <c r="P346" s="26"/>
      <c r="Q346" s="26"/>
      <c r="R346" s="26"/>
      <c r="S346" s="26"/>
      <c r="T346" s="26"/>
      <c r="U346" s="26"/>
      <c r="V346" s="26"/>
    </row>
    <row r="347" spans="1:22" ht="37.5">
      <c r="A347" s="243" t="s">
        <v>1461</v>
      </c>
      <c r="B347" s="243" t="s">
        <v>1460</v>
      </c>
      <c r="C347" s="299" t="s">
        <v>1536</v>
      </c>
      <c r="D347" s="308" t="s">
        <v>1474</v>
      </c>
      <c r="E347" s="243" t="s">
        <v>1487</v>
      </c>
      <c r="F347" s="47" t="s">
        <v>83</v>
      </c>
      <c r="G347" s="47" t="s">
        <v>92</v>
      </c>
      <c r="H347" s="58">
        <f>IF(F347='Risk Methedology Matrix'!B$26,5,IF(F347='Risk Methedology Matrix'!B$27,4,IF(F347='Risk Methedology Matrix'!B$28,3,IF(F347='Risk Methedology Matrix'!B$29,2,IF(F347='Risk Methedology Matrix'!B$30,1,0)))))</f>
        <v>4</v>
      </c>
      <c r="I347" s="58">
        <f>IF(G347='Risk Methedology Matrix'!G$25,5,IF(G347='Risk Methedology Matrix'!F$25,4,IF(G347='Risk Methedology Matrix'!E$25,3,IF(G347='Risk Methedology Matrix'!D$25,2,IF(G347='Risk Methedology Matrix'!C$25,1,0)))))</f>
        <v>5</v>
      </c>
      <c r="J347" s="58" t="str">
        <f t="shared" ref="J347" si="35">IF(OR(F347="",G347=""),"",IF(H347*I347&gt;=20,"Very High",IF(AND(H347*I347&lt;20,H347*I347&gt;=11),"High",IF(AND(H347*I347&lt;11,H347*I347&gt;=6),"Medium",IF(AND(H347*I347&lt;6,H347*I347&gt;=3),"Low",IF(AND(H347*I347&lt;3,H347*I347&gt;=1),"Very Low",""))))))</f>
        <v>Very High</v>
      </c>
      <c r="K347" s="245" t="s">
        <v>1508</v>
      </c>
      <c r="L347" s="47" t="s">
        <v>169</v>
      </c>
      <c r="M347" s="58" t="str">
        <f t="shared" si="26"/>
        <v>Medium</v>
      </c>
      <c r="N347" s="26"/>
      <c r="O347" s="26"/>
      <c r="P347" s="26"/>
      <c r="Q347" s="26"/>
      <c r="R347" s="26"/>
      <c r="S347" s="26"/>
      <c r="T347" s="26"/>
      <c r="U347" s="26"/>
      <c r="V347" s="26"/>
    </row>
    <row r="348" spans="1:22" ht="25">
      <c r="A348" s="243" t="s">
        <v>1462</v>
      </c>
      <c r="B348" s="243" t="s">
        <v>1460</v>
      </c>
      <c r="C348" s="299" t="s">
        <v>1537</v>
      </c>
      <c r="D348" s="308" t="s">
        <v>1475</v>
      </c>
      <c r="E348" s="243" t="s">
        <v>1488</v>
      </c>
      <c r="F348" s="47" t="s">
        <v>114</v>
      </c>
      <c r="G348" s="47" t="s">
        <v>84</v>
      </c>
      <c r="H348" s="58">
        <f>IF(F348='Risk Methedology Matrix'!B$26,5,IF(F348='Risk Methedology Matrix'!B$27,4,IF(F348='Risk Methedology Matrix'!B$28,3,IF(F348='Risk Methedology Matrix'!B$29,2,IF(F348='Risk Methedology Matrix'!B$30,1,0)))))</f>
        <v>3</v>
      </c>
      <c r="I348" s="58">
        <f>IF(G348='Risk Methedology Matrix'!G$25,5,IF(G348='Risk Methedology Matrix'!F$25,4,IF(G348='Risk Methedology Matrix'!E$25,3,IF(G348='Risk Methedology Matrix'!D$25,2,IF(G348='Risk Methedology Matrix'!C$25,1,0)))))</f>
        <v>4</v>
      </c>
      <c r="J348" s="58" t="str">
        <f t="shared" ref="J348" si="36">IF(OR(F348="",G348=""),"",IF(H348*I348&gt;=20,"Very High",IF(AND(H348*I348&lt;20,H348*I348&gt;=11),"High",IF(AND(H348*I348&lt;11,H348*I348&gt;=6),"Medium",IF(AND(H348*I348&lt;6,H348*I348&gt;=3),"Low",IF(AND(H348*I348&lt;3,H348*I348&gt;=1),"Very Low",""))))))</f>
        <v>High</v>
      </c>
      <c r="K348" s="245" t="s">
        <v>1509</v>
      </c>
      <c r="L348" s="47" t="s">
        <v>85</v>
      </c>
      <c r="M348" s="58" t="str">
        <f t="shared" si="26"/>
        <v>Medium</v>
      </c>
      <c r="N348" s="26"/>
      <c r="O348" s="26"/>
      <c r="P348" s="26"/>
      <c r="Q348" s="26"/>
      <c r="R348" s="26"/>
      <c r="S348" s="26"/>
      <c r="T348" s="26"/>
      <c r="U348" s="26"/>
      <c r="V348" s="26"/>
    </row>
    <row r="349" spans="1:22" ht="37.5">
      <c r="A349" s="243" t="s">
        <v>1463</v>
      </c>
      <c r="B349" s="243" t="s">
        <v>1464</v>
      </c>
      <c r="C349" s="299" t="s">
        <v>1538</v>
      </c>
      <c r="D349" s="308" t="s">
        <v>1476</v>
      </c>
      <c r="E349" s="243" t="s">
        <v>1489</v>
      </c>
      <c r="F349" s="47" t="s">
        <v>83</v>
      </c>
      <c r="G349" s="47" t="s">
        <v>92</v>
      </c>
      <c r="H349" s="58">
        <f>IF(F349='Risk Methedology Matrix'!B$26,5,IF(F349='Risk Methedology Matrix'!B$27,4,IF(F349='Risk Methedology Matrix'!B$28,3,IF(F349='Risk Methedology Matrix'!B$29,2,IF(F349='Risk Methedology Matrix'!B$30,1,0)))))</f>
        <v>4</v>
      </c>
      <c r="I349" s="58">
        <f>IF(G349='Risk Methedology Matrix'!G$25,5,IF(G349='Risk Methedology Matrix'!F$25,4,IF(G349='Risk Methedology Matrix'!E$25,3,IF(G349='Risk Methedology Matrix'!D$25,2,IF(G349='Risk Methedology Matrix'!C$25,1,0)))))</f>
        <v>5</v>
      </c>
      <c r="J349" s="58" t="str">
        <f t="shared" ref="J349" si="37">IF(OR(F349="",G349=""),"",IF(H349*I349&gt;=20,"Very High",IF(AND(H349*I349&lt;20,H349*I349&gt;=11),"High",IF(AND(H349*I349&lt;11,H349*I349&gt;=6),"Medium",IF(AND(H349*I349&lt;6,H349*I349&gt;=3),"Low",IF(AND(H349*I349&lt;3,H349*I349&gt;=1),"Very Low",""))))))</f>
        <v>Very High</v>
      </c>
      <c r="K349" s="245" t="s">
        <v>1510</v>
      </c>
      <c r="L349" s="47" t="s">
        <v>169</v>
      </c>
      <c r="M349" s="58" t="str">
        <f t="shared" si="26"/>
        <v>Medium</v>
      </c>
      <c r="N349" s="26"/>
      <c r="O349" s="26"/>
      <c r="P349" s="26"/>
      <c r="Q349" s="26"/>
      <c r="R349" s="26"/>
      <c r="S349" s="26"/>
      <c r="T349" s="26"/>
      <c r="U349" s="26"/>
      <c r="V349" s="26"/>
    </row>
    <row r="350" spans="1:22" ht="37.5">
      <c r="A350" s="245" t="s">
        <v>1465</v>
      </c>
      <c r="B350" s="245" t="s">
        <v>1464</v>
      </c>
      <c r="C350" s="299" t="s">
        <v>1539</v>
      </c>
      <c r="D350" s="308" t="s">
        <v>1476</v>
      </c>
      <c r="E350" s="245" t="s">
        <v>1490</v>
      </c>
      <c r="F350" s="47" t="s">
        <v>83</v>
      </c>
      <c r="G350" s="47" t="s">
        <v>84</v>
      </c>
      <c r="H350" s="58">
        <f>IF(F350='Risk Methedology Matrix'!B$26,5,IF(F350='Risk Methedology Matrix'!B$27,4,IF(F350='Risk Methedology Matrix'!B$28,3,IF(F350='Risk Methedology Matrix'!B$29,2,IF(F350='Risk Methedology Matrix'!B$30,1,0)))))</f>
        <v>4</v>
      </c>
      <c r="I350" s="58">
        <f>IF(G350='Risk Methedology Matrix'!G$25,5,IF(G350='Risk Methedology Matrix'!F$25,4,IF(G350='Risk Methedology Matrix'!E$25,3,IF(G350='Risk Methedology Matrix'!D$25,2,IF(G350='Risk Methedology Matrix'!C$25,1,0)))))</f>
        <v>4</v>
      </c>
      <c r="J350" s="58" t="str">
        <f t="shared" ref="J350" si="38">IF(OR(F350="",G350=""),"",IF(H350*I350&gt;=20,"Very High",IF(AND(H350*I350&lt;20,H350*I350&gt;=11),"High",IF(AND(H350*I350&lt;11,H350*I350&gt;=6),"Medium",IF(AND(H350*I350&lt;6,H350*I350&gt;=3),"Low",IF(AND(H350*I350&lt;3,H350*I350&gt;=1),"Very Low",""))))))</f>
        <v>High</v>
      </c>
      <c r="K350" s="245" t="s">
        <v>1511</v>
      </c>
      <c r="L350" s="47" t="s">
        <v>85</v>
      </c>
      <c r="M350" s="58" t="str">
        <f t="shared" si="26"/>
        <v>Medium</v>
      </c>
      <c r="N350" s="26"/>
      <c r="O350" s="26"/>
      <c r="P350" s="26"/>
      <c r="Q350" s="26"/>
      <c r="R350" s="26"/>
      <c r="S350" s="26"/>
      <c r="T350" s="26"/>
      <c r="U350" s="26"/>
      <c r="V350" s="26"/>
    </row>
    <row r="351" spans="1:22" ht="50">
      <c r="A351" s="245" t="s">
        <v>1466</v>
      </c>
      <c r="B351" s="245" t="s">
        <v>1467</v>
      </c>
      <c r="C351" s="299" t="s">
        <v>1540</v>
      </c>
      <c r="D351" s="308" t="s">
        <v>1477</v>
      </c>
      <c r="E351" s="245" t="s">
        <v>1491</v>
      </c>
      <c r="F351" s="47" t="s">
        <v>83</v>
      </c>
      <c r="G351" s="47" t="s">
        <v>84</v>
      </c>
      <c r="H351" s="58">
        <f>IF(F351='Risk Methedology Matrix'!B$26,5,IF(F351='Risk Methedology Matrix'!B$27,4,IF(F351='Risk Methedology Matrix'!B$28,3,IF(F351='Risk Methedology Matrix'!B$29,2,IF(F351='Risk Methedology Matrix'!B$30,1,0)))))</f>
        <v>4</v>
      </c>
      <c r="I351" s="58">
        <f>IF(G351='Risk Methedology Matrix'!G$25,5,IF(G351='Risk Methedology Matrix'!F$25,4,IF(G351='Risk Methedology Matrix'!E$25,3,IF(G351='Risk Methedology Matrix'!D$25,2,IF(G351='Risk Methedology Matrix'!C$25,1,0)))))</f>
        <v>4</v>
      </c>
      <c r="J351" s="58" t="str">
        <f t="shared" ref="J351" si="39">IF(OR(F351="",G351=""),"",IF(H351*I351&gt;=20,"Very High",IF(AND(H351*I351&lt;20,H351*I351&gt;=11),"High",IF(AND(H351*I351&lt;11,H351*I351&gt;=6),"Medium",IF(AND(H351*I351&lt;6,H351*I351&gt;=3),"Low",IF(AND(H351*I351&lt;3,H351*I351&gt;=1),"Very Low",""))))))</f>
        <v>High</v>
      </c>
      <c r="K351" s="245" t="s">
        <v>1512</v>
      </c>
      <c r="L351" s="47" t="s">
        <v>85</v>
      </c>
      <c r="M351" s="58" t="str">
        <f t="shared" ref="M351:M399" si="40">IF(OR(J351="",L351=""),"",
IF(AND(J351="Very High",L351="Excellent"),"Low",
IF(AND(J351="Very High",L351="Good"),"Medium",
IF(AND(J351="Very High",L351="Fair"),"High",
IF(AND(J351="Very High",L351="Poor"),"Very High",
IF(AND(J351="Very High",L351="Unsatisfactory"),"Very High",
IF(AND(J351="High",L351="Excellent"),"Very Low",
IF(AND(J351="High",L351="Good"),"Low",
IF(AND(J351="High",L351="Fair"),"Medium",
IF(AND(J351="High",L351="Poor"),"High",
IF(AND(J351="High",L351="Unsatisfactory"),"High",
IF(AND(J351="Medium",L351="Excellent"),"Very Low",
IF(AND(J351="Medium",L351="Good"),"Very Low",
IF(AND(J351="Medium",L351="Fair"),"Low",
IF(AND(J351="Medium",L351="Poor"),"Medium",
IF(AND(J351="Medium",L351="Unsatisfactory"),"Medium",
IF(AND(J351="Low",L351="Excellent"),"Very Low",
IF(AND(J351="Low",L351="Good"),"Very Low",
IF(AND(J351="Low",L351="Fair"),"Very Low",
IF(AND(J351="Low",L351="Poor"),"Low",
IF(AND(J351="Low",L351="Unsatisfactory"),"Low",
IF(AND(J351="Very Low",L351="Excellent"),"Very Low",
IF(AND(J351="Very Low",L351="Good"),"Very Low",
IF(AND(J351="Very Low",L351="Fair"),"Very Low",
IF(AND(J351="Very Low",L351="Poor"),"Very Low",
IF(AND(J351="Very Low",L351="Unsatisfactory"),"Very Low",""))))))))))))))))))))))))))</f>
        <v>Medium</v>
      </c>
      <c r="N351" s="26"/>
      <c r="O351" s="26"/>
      <c r="P351" s="26"/>
      <c r="Q351" s="26"/>
      <c r="R351" s="26"/>
      <c r="S351" s="26"/>
      <c r="T351" s="26"/>
      <c r="U351" s="26"/>
      <c r="V351" s="26"/>
    </row>
    <row r="352" spans="1:22" ht="37.5">
      <c r="A352" s="245" t="s">
        <v>1447</v>
      </c>
      <c r="B352" s="245" t="s">
        <v>1468</v>
      </c>
      <c r="C352" s="299" t="s">
        <v>1541</v>
      </c>
      <c r="D352" s="308" t="s">
        <v>1475</v>
      </c>
      <c r="E352" s="245" t="s">
        <v>1492</v>
      </c>
      <c r="F352" s="47" t="s">
        <v>114</v>
      </c>
      <c r="G352" s="47" t="s">
        <v>92</v>
      </c>
      <c r="H352" s="58">
        <f>IF(F352='Risk Methedology Matrix'!B$26,5,IF(F352='Risk Methedology Matrix'!B$27,4,IF(F352='Risk Methedology Matrix'!B$28,3,IF(F352='Risk Methedology Matrix'!B$29,2,IF(F352='Risk Methedology Matrix'!B$30,1,0)))))</f>
        <v>3</v>
      </c>
      <c r="I352" s="58">
        <f>IF(G352='Risk Methedology Matrix'!G$25,5,IF(G352='Risk Methedology Matrix'!F$25,4,IF(G352='Risk Methedology Matrix'!E$25,3,IF(G352='Risk Methedology Matrix'!D$25,2,IF(G352='Risk Methedology Matrix'!C$25,1,0)))))</f>
        <v>5</v>
      </c>
      <c r="J352" s="58" t="str">
        <f t="shared" ref="J352" si="41">IF(OR(F352="",G352=""),"",IF(H352*I352&gt;=20,"Very High",IF(AND(H352*I352&lt;20,H352*I352&gt;=11),"High",IF(AND(H352*I352&lt;11,H352*I352&gt;=6),"Medium",IF(AND(H352*I352&lt;6,H352*I352&gt;=3),"Low",IF(AND(H352*I352&lt;3,H352*I352&gt;=1),"Very Low",""))))))</f>
        <v>High</v>
      </c>
      <c r="K352" s="245" t="s">
        <v>1513</v>
      </c>
      <c r="L352" s="47" t="s">
        <v>85</v>
      </c>
      <c r="M352" s="58" t="str">
        <f t="shared" si="40"/>
        <v>Medium</v>
      </c>
      <c r="N352" s="26"/>
      <c r="O352" s="26"/>
      <c r="P352" s="26"/>
      <c r="Q352" s="26"/>
      <c r="R352" s="26"/>
      <c r="S352" s="26"/>
      <c r="T352" s="26"/>
      <c r="U352" s="26"/>
      <c r="V352" s="26"/>
    </row>
    <row r="353" spans="1:22" ht="25">
      <c r="A353" s="245" t="s">
        <v>1448</v>
      </c>
      <c r="B353" s="245" t="s">
        <v>1468</v>
      </c>
      <c r="C353" s="299" t="s">
        <v>1542</v>
      </c>
      <c r="D353" s="308" t="s">
        <v>1478</v>
      </c>
      <c r="E353" s="245" t="s">
        <v>1493</v>
      </c>
      <c r="F353" s="47" t="s">
        <v>114</v>
      </c>
      <c r="G353" s="47" t="s">
        <v>92</v>
      </c>
      <c r="H353" s="58">
        <f>IF(F353='Risk Methedology Matrix'!B$26,5,IF(F353='Risk Methedology Matrix'!B$27,4,IF(F353='Risk Methedology Matrix'!B$28,3,IF(F353='Risk Methedology Matrix'!B$29,2,IF(F353='Risk Methedology Matrix'!B$30,1,0)))))</f>
        <v>3</v>
      </c>
      <c r="I353" s="58">
        <f>IF(G353='Risk Methedology Matrix'!G$25,5,IF(G353='Risk Methedology Matrix'!F$25,4,IF(G353='Risk Methedology Matrix'!E$25,3,IF(G353='Risk Methedology Matrix'!D$25,2,IF(G353='Risk Methedology Matrix'!C$25,1,0)))))</f>
        <v>5</v>
      </c>
      <c r="J353" s="58" t="str">
        <f t="shared" ref="J353" si="42">IF(OR(F353="",G353=""),"",IF(H353*I353&gt;=20,"Very High",IF(AND(H353*I353&lt;20,H353*I353&gt;=11),"High",IF(AND(H353*I353&lt;11,H353*I353&gt;=6),"Medium",IF(AND(H353*I353&lt;6,H353*I353&gt;=3),"Low",IF(AND(H353*I353&lt;3,H353*I353&gt;=1),"Very Low",""))))))</f>
        <v>High</v>
      </c>
      <c r="K353" s="245" t="s">
        <v>1514</v>
      </c>
      <c r="L353" s="47" t="s">
        <v>85</v>
      </c>
      <c r="M353" s="58" t="str">
        <f t="shared" si="40"/>
        <v>Medium</v>
      </c>
      <c r="N353" s="26"/>
      <c r="O353" s="26"/>
      <c r="P353" s="26"/>
      <c r="Q353" s="26"/>
      <c r="R353" s="26"/>
      <c r="S353" s="26"/>
      <c r="T353" s="26"/>
      <c r="U353" s="26"/>
      <c r="V353" s="26"/>
    </row>
    <row r="354" spans="1:22" ht="100">
      <c r="A354" s="249" t="s">
        <v>1449</v>
      </c>
      <c r="B354" s="249" t="s">
        <v>1468</v>
      </c>
      <c r="C354" s="299" t="s">
        <v>1543</v>
      </c>
      <c r="D354" s="308" t="s">
        <v>1479</v>
      </c>
      <c r="E354" s="249" t="s">
        <v>1494</v>
      </c>
      <c r="F354" s="47" t="s">
        <v>126</v>
      </c>
      <c r="G354" s="47" t="s">
        <v>84</v>
      </c>
      <c r="H354" s="58">
        <f>IF(F354='Risk Methedology Matrix'!B$26,5,IF(F354='Risk Methedology Matrix'!B$27,4,IF(F354='Risk Methedology Matrix'!B$28,3,IF(F354='Risk Methedology Matrix'!B$29,2,IF(F354='Risk Methedology Matrix'!B$30,1,0)))))</f>
        <v>2</v>
      </c>
      <c r="I354" s="58">
        <f>IF(G354='Risk Methedology Matrix'!G$25,5,IF(G354='Risk Methedology Matrix'!F$25,4,IF(G354='Risk Methedology Matrix'!E$25,3,IF(G354='Risk Methedology Matrix'!D$25,2,IF(G354='Risk Methedology Matrix'!C$25,1,0)))))</f>
        <v>4</v>
      </c>
      <c r="J354" s="58" t="str">
        <f t="shared" ref="J354" si="43">IF(OR(F354="",G354=""),"",IF(H354*I354&gt;=20,"Very High",IF(AND(H354*I354&lt;20,H354*I354&gt;=11),"High",IF(AND(H354*I354&lt;11,H354*I354&gt;=6),"Medium",IF(AND(H354*I354&lt;6,H354*I354&gt;=3),"Low",IF(AND(H354*I354&lt;3,H354*I354&gt;=1),"Very Low",""))))))</f>
        <v>Medium</v>
      </c>
      <c r="K354" s="250" t="s">
        <v>1515</v>
      </c>
      <c r="L354" s="47" t="s">
        <v>85</v>
      </c>
      <c r="M354" s="58" t="str">
        <f t="shared" si="40"/>
        <v>Low</v>
      </c>
      <c r="N354" s="26"/>
      <c r="O354" s="26"/>
      <c r="P354" s="26"/>
      <c r="Q354" s="26"/>
      <c r="R354" s="26"/>
      <c r="S354" s="26"/>
      <c r="T354" s="26"/>
      <c r="U354" s="26"/>
      <c r="V354" s="26"/>
    </row>
    <row r="355" spans="1:22" ht="25">
      <c r="A355" s="245" t="s">
        <v>1450</v>
      </c>
      <c r="B355" s="245" t="s">
        <v>1468</v>
      </c>
      <c r="C355" s="299" t="s">
        <v>1544</v>
      </c>
      <c r="D355" s="308" t="s">
        <v>1480</v>
      </c>
      <c r="E355" s="245" t="s">
        <v>1495</v>
      </c>
      <c r="F355" s="47" t="s">
        <v>114</v>
      </c>
      <c r="G355" s="47" t="s">
        <v>84</v>
      </c>
      <c r="H355" s="58">
        <f>IF(F355='Risk Methedology Matrix'!B$26,5,IF(F355='Risk Methedology Matrix'!B$27,4,IF(F355='Risk Methedology Matrix'!B$28,3,IF(F355='Risk Methedology Matrix'!B$29,2,IF(F355='Risk Methedology Matrix'!B$30,1,0)))))</f>
        <v>3</v>
      </c>
      <c r="I355" s="58">
        <f>IF(G355='Risk Methedology Matrix'!G$25,5,IF(G355='Risk Methedology Matrix'!F$25,4,IF(G355='Risk Methedology Matrix'!E$25,3,IF(G355='Risk Methedology Matrix'!D$25,2,IF(G355='Risk Methedology Matrix'!C$25,1,0)))))</f>
        <v>4</v>
      </c>
      <c r="J355" s="58" t="str">
        <f t="shared" ref="J355" si="44">IF(OR(F355="",G355=""),"",IF(H355*I355&gt;=20,"Very High",IF(AND(H355*I355&lt;20,H355*I355&gt;=11),"High",IF(AND(H355*I355&lt;11,H355*I355&gt;=6),"Medium",IF(AND(H355*I355&lt;6,H355*I355&gt;=3),"Low",IF(AND(H355*I355&lt;3,H355*I355&gt;=1),"Very Low",""))))))</f>
        <v>High</v>
      </c>
      <c r="K355" s="245" t="s">
        <v>1516</v>
      </c>
      <c r="L355" s="47" t="s">
        <v>85</v>
      </c>
      <c r="M355" s="58" t="str">
        <f t="shared" si="40"/>
        <v>Medium</v>
      </c>
      <c r="N355" s="26"/>
      <c r="O355" s="26"/>
      <c r="P355" s="26"/>
      <c r="Q355" s="26"/>
      <c r="R355" s="26"/>
      <c r="S355" s="26"/>
      <c r="T355" s="26"/>
      <c r="U355" s="26"/>
      <c r="V355" s="26"/>
    </row>
    <row r="356" spans="1:22" ht="62.5">
      <c r="A356" s="249" t="s">
        <v>1451</v>
      </c>
      <c r="B356" s="249" t="s">
        <v>1468</v>
      </c>
      <c r="C356" s="299" t="s">
        <v>1545</v>
      </c>
      <c r="D356" s="308" t="s">
        <v>1481</v>
      </c>
      <c r="E356" s="249" t="s">
        <v>1496</v>
      </c>
      <c r="F356" s="47" t="s">
        <v>126</v>
      </c>
      <c r="G356" s="47" t="s">
        <v>84</v>
      </c>
      <c r="H356" s="58">
        <f>IF(F356='Risk Methedology Matrix'!B$26,5,IF(F356='Risk Methedology Matrix'!B$27,4,IF(F356='Risk Methedology Matrix'!B$28,3,IF(F356='Risk Methedology Matrix'!B$29,2,IF(F356='Risk Methedology Matrix'!B$30,1,0)))))</f>
        <v>2</v>
      </c>
      <c r="I356" s="58">
        <f>IF(G356='Risk Methedology Matrix'!G$25,5,IF(G356='Risk Methedology Matrix'!F$25,4,IF(G356='Risk Methedology Matrix'!E$25,3,IF(G356='Risk Methedology Matrix'!D$25,2,IF(G356='Risk Methedology Matrix'!C$25,1,0)))))</f>
        <v>4</v>
      </c>
      <c r="J356" s="58" t="str">
        <f t="shared" ref="J356" si="45">IF(OR(F356="",G356=""),"",IF(H356*I356&gt;=20,"Very High",IF(AND(H356*I356&lt;20,H356*I356&gt;=11),"High",IF(AND(H356*I356&lt;11,H356*I356&gt;=6),"Medium",IF(AND(H356*I356&lt;6,H356*I356&gt;=3),"Low",IF(AND(H356*I356&lt;3,H356*I356&gt;=1),"Very Low",""))))))</f>
        <v>Medium</v>
      </c>
      <c r="K356" s="249" t="s">
        <v>1517</v>
      </c>
      <c r="L356" s="47" t="s">
        <v>85</v>
      </c>
      <c r="M356" s="58" t="str">
        <f t="shared" si="40"/>
        <v>Low</v>
      </c>
      <c r="N356" s="26"/>
      <c r="O356" s="26"/>
      <c r="P356" s="26"/>
      <c r="Q356" s="26"/>
      <c r="R356" s="26"/>
      <c r="S356" s="26"/>
      <c r="T356" s="26"/>
      <c r="U356" s="26"/>
      <c r="V356" s="26"/>
    </row>
    <row r="357" spans="1:22" ht="25">
      <c r="A357" s="245" t="s">
        <v>1452</v>
      </c>
      <c r="B357" s="245" t="s">
        <v>1469</v>
      </c>
      <c r="C357" s="299" t="s">
        <v>1546</v>
      </c>
      <c r="D357" s="308" t="s">
        <v>1386</v>
      </c>
      <c r="E357" s="245" t="s">
        <v>1497</v>
      </c>
      <c r="F357" s="47" t="s">
        <v>114</v>
      </c>
      <c r="G357" s="47" t="s">
        <v>84</v>
      </c>
      <c r="H357" s="58">
        <f>IF(F357='Risk Methedology Matrix'!B$26,5,IF(F357='Risk Methedology Matrix'!B$27,4,IF(F357='Risk Methedology Matrix'!B$28,3,IF(F357='Risk Methedology Matrix'!B$29,2,IF(F357='Risk Methedology Matrix'!B$30,1,0)))))</f>
        <v>3</v>
      </c>
      <c r="I357" s="58">
        <f>IF(G357='Risk Methedology Matrix'!G$25,5,IF(G357='Risk Methedology Matrix'!F$25,4,IF(G357='Risk Methedology Matrix'!E$25,3,IF(G357='Risk Methedology Matrix'!D$25,2,IF(G357='Risk Methedology Matrix'!C$25,1,0)))))</f>
        <v>4</v>
      </c>
      <c r="J357" s="58" t="str">
        <f t="shared" ref="J357" si="46">IF(OR(F357="",G357=""),"",IF(H357*I357&gt;=20,"Very High",IF(AND(H357*I357&lt;20,H357*I357&gt;=11),"High",IF(AND(H357*I357&lt;11,H357*I357&gt;=6),"Medium",IF(AND(H357*I357&lt;6,H357*I357&gt;=3),"Low",IF(AND(H357*I357&lt;3,H357*I357&gt;=1),"Very Low",""))))))</f>
        <v>High</v>
      </c>
      <c r="K357" s="245" t="s">
        <v>1518</v>
      </c>
      <c r="L357" s="47" t="s">
        <v>85</v>
      </c>
      <c r="M357" s="58" t="str">
        <f t="shared" si="40"/>
        <v>Medium</v>
      </c>
      <c r="N357" s="26"/>
      <c r="O357" s="26"/>
      <c r="P357" s="26"/>
      <c r="Q357" s="26"/>
      <c r="R357" s="26"/>
      <c r="S357" s="26"/>
      <c r="T357" s="26"/>
      <c r="U357" s="26"/>
      <c r="V357" s="26"/>
    </row>
    <row r="358" spans="1:22" ht="25">
      <c r="A358" s="249" t="s">
        <v>1453</v>
      </c>
      <c r="B358" s="249" t="s">
        <v>1469</v>
      </c>
      <c r="C358" s="299" t="s">
        <v>1547</v>
      </c>
      <c r="D358" s="308" t="s">
        <v>1481</v>
      </c>
      <c r="E358" s="249" t="s">
        <v>1498</v>
      </c>
      <c r="F358" s="47" t="s">
        <v>126</v>
      </c>
      <c r="G358" s="47" t="s">
        <v>84</v>
      </c>
      <c r="H358" s="58">
        <f>IF(F358='Risk Methedology Matrix'!B$26,5,IF(F358='Risk Methedology Matrix'!B$27,4,IF(F358='Risk Methedology Matrix'!B$28,3,IF(F358='Risk Methedology Matrix'!B$29,2,IF(F358='Risk Methedology Matrix'!B$30,1,0)))))</f>
        <v>2</v>
      </c>
      <c r="I358" s="58">
        <f>IF(G358='Risk Methedology Matrix'!G$25,5,IF(G358='Risk Methedology Matrix'!F$25,4,IF(G358='Risk Methedology Matrix'!E$25,3,IF(G358='Risk Methedology Matrix'!D$25,2,IF(G358='Risk Methedology Matrix'!C$25,1,0)))))</f>
        <v>4</v>
      </c>
      <c r="J358" s="58" t="str">
        <f t="shared" ref="J358" si="47">IF(OR(F358="",G358=""),"",IF(H358*I358&gt;=20,"Very High",IF(AND(H358*I358&lt;20,H358*I358&gt;=11),"High",IF(AND(H358*I358&lt;11,H358*I358&gt;=6),"Medium",IF(AND(H358*I358&lt;6,H358*I358&gt;=3),"Low",IF(AND(H358*I358&lt;3,H358*I358&gt;=1),"Very Low",""))))))</f>
        <v>Medium</v>
      </c>
      <c r="K358" s="249" t="s">
        <v>1519</v>
      </c>
      <c r="L358" s="47" t="s">
        <v>85</v>
      </c>
      <c r="M358" s="58" t="str">
        <f t="shared" si="40"/>
        <v>Low</v>
      </c>
      <c r="N358" s="26"/>
      <c r="O358" s="26"/>
      <c r="P358" s="26"/>
      <c r="Q358" s="26"/>
      <c r="R358" s="26"/>
      <c r="S358" s="26"/>
      <c r="T358" s="26"/>
      <c r="U358" s="26"/>
      <c r="V358" s="26"/>
    </row>
    <row r="359" spans="1:22" ht="37.5">
      <c r="A359" s="245" t="s">
        <v>1454</v>
      </c>
      <c r="B359" s="245" t="s">
        <v>1470</v>
      </c>
      <c r="C359" s="299" t="s">
        <v>1548</v>
      </c>
      <c r="D359" s="308" t="s">
        <v>1482</v>
      </c>
      <c r="E359" s="245" t="s">
        <v>1499</v>
      </c>
      <c r="F359" s="47" t="s">
        <v>114</v>
      </c>
      <c r="G359" s="47" t="s">
        <v>84</v>
      </c>
      <c r="H359" s="58">
        <f>IF(F359='Risk Methedology Matrix'!B$26,5,IF(F359='Risk Methedology Matrix'!B$27,4,IF(F359='Risk Methedology Matrix'!B$28,3,IF(F359='Risk Methedology Matrix'!B$29,2,IF(F359='Risk Methedology Matrix'!B$30,1,0)))))</f>
        <v>3</v>
      </c>
      <c r="I359" s="58">
        <f>IF(G359='Risk Methedology Matrix'!G$25,5,IF(G359='Risk Methedology Matrix'!F$25,4,IF(G359='Risk Methedology Matrix'!E$25,3,IF(G359='Risk Methedology Matrix'!D$25,2,IF(G359='Risk Methedology Matrix'!C$25,1,0)))))</f>
        <v>4</v>
      </c>
      <c r="J359" s="58" t="str">
        <f t="shared" ref="J359" si="48">IF(OR(F359="",G359=""),"",IF(H359*I359&gt;=20,"Very High",IF(AND(H359*I359&lt;20,H359*I359&gt;=11),"High",IF(AND(H359*I359&lt;11,H359*I359&gt;=6),"Medium",IF(AND(H359*I359&lt;6,H359*I359&gt;=3),"Low",IF(AND(H359*I359&lt;3,H359*I359&gt;=1),"Very Low",""))))))</f>
        <v>High</v>
      </c>
      <c r="K359" s="245" t="s">
        <v>1520</v>
      </c>
      <c r="L359" s="47" t="s">
        <v>85</v>
      </c>
      <c r="M359" s="58" t="str">
        <f t="shared" si="40"/>
        <v>Medium</v>
      </c>
      <c r="N359" s="26"/>
      <c r="O359" s="26"/>
      <c r="P359" s="26"/>
      <c r="Q359" s="26"/>
      <c r="R359" s="26"/>
      <c r="S359" s="26"/>
      <c r="T359" s="26"/>
      <c r="U359" s="26"/>
      <c r="V359" s="26"/>
    </row>
    <row r="360" spans="1:22" ht="37.5">
      <c r="A360" s="245" t="s">
        <v>1455</v>
      </c>
      <c r="B360" s="245" t="s">
        <v>1470</v>
      </c>
      <c r="C360" s="299" t="s">
        <v>1548</v>
      </c>
      <c r="D360" s="308" t="s">
        <v>1482</v>
      </c>
      <c r="E360" s="245" t="s">
        <v>1500</v>
      </c>
      <c r="F360" s="47" t="s">
        <v>114</v>
      </c>
      <c r="G360" s="47" t="s">
        <v>84</v>
      </c>
      <c r="H360" s="58">
        <f>IF(F360='Risk Methedology Matrix'!B$26,5,IF(F360='Risk Methedology Matrix'!B$27,4,IF(F360='Risk Methedology Matrix'!B$28,3,IF(F360='Risk Methedology Matrix'!B$29,2,IF(F360='Risk Methedology Matrix'!B$30,1,0)))))</f>
        <v>3</v>
      </c>
      <c r="I360" s="58">
        <f>IF(G360='Risk Methedology Matrix'!G$25,5,IF(G360='Risk Methedology Matrix'!F$25,4,IF(G360='Risk Methedology Matrix'!E$25,3,IF(G360='Risk Methedology Matrix'!D$25,2,IF(G360='Risk Methedology Matrix'!C$25,1,0)))))</f>
        <v>4</v>
      </c>
      <c r="J360" s="58" t="str">
        <f t="shared" ref="J360:J361" si="49">IF(OR(F360="",G360=""),"",IF(H360*I360&gt;=20,"Very High",IF(AND(H360*I360&lt;20,H360*I360&gt;=11),"High",IF(AND(H360*I360&lt;11,H360*I360&gt;=6),"Medium",IF(AND(H360*I360&lt;6,H360*I360&gt;=3),"Low",IF(AND(H360*I360&lt;3,H360*I360&gt;=1),"Very Low",""))))))</f>
        <v>High</v>
      </c>
      <c r="K360" s="245"/>
      <c r="L360" s="47" t="s">
        <v>93</v>
      </c>
      <c r="M360" s="58" t="str">
        <f t="shared" si="40"/>
        <v>High</v>
      </c>
      <c r="N360" s="26"/>
      <c r="O360" s="26" t="s">
        <v>1521</v>
      </c>
      <c r="P360" s="26"/>
      <c r="Q360" s="26" t="s">
        <v>1549</v>
      </c>
      <c r="R360" s="26"/>
      <c r="S360" s="26"/>
      <c r="T360" s="26"/>
      <c r="U360" s="26"/>
      <c r="V360" s="26"/>
    </row>
    <row r="361" spans="1:22" ht="12.5">
      <c r="A361" s="245" t="s">
        <v>1456</v>
      </c>
      <c r="B361" s="245" t="s">
        <v>1470</v>
      </c>
      <c r="C361" s="299" t="s">
        <v>1548</v>
      </c>
      <c r="D361" s="308" t="s">
        <v>1482</v>
      </c>
      <c r="E361" s="245" t="s">
        <v>1501</v>
      </c>
      <c r="F361" s="47" t="s">
        <v>114</v>
      </c>
      <c r="G361" s="47" t="s">
        <v>84</v>
      </c>
      <c r="H361" s="58">
        <f>IF(F361='Risk Methedology Matrix'!B$26,5,IF(F361='Risk Methedology Matrix'!B$27,4,IF(F361='Risk Methedology Matrix'!B$28,3,IF(F361='Risk Methedology Matrix'!B$29,2,IF(F361='Risk Methedology Matrix'!B$30,1,0)))))</f>
        <v>3</v>
      </c>
      <c r="I361" s="58">
        <f>IF(G361='Risk Methedology Matrix'!G$25,5,IF(G361='Risk Methedology Matrix'!F$25,4,IF(G361='Risk Methedology Matrix'!E$25,3,IF(G361='Risk Methedology Matrix'!D$25,2,IF(G361='Risk Methedology Matrix'!C$25,1,0)))))</f>
        <v>4</v>
      </c>
      <c r="J361" s="58" t="str">
        <f t="shared" si="49"/>
        <v>High</v>
      </c>
      <c r="K361" s="245" t="s">
        <v>1522</v>
      </c>
      <c r="L361" s="47" t="s">
        <v>85</v>
      </c>
      <c r="M361" s="58" t="str">
        <f t="shared" si="40"/>
        <v>Medium</v>
      </c>
      <c r="N361" s="26"/>
      <c r="O361" s="26"/>
      <c r="P361" s="26"/>
      <c r="Q361" s="26"/>
      <c r="R361" s="26"/>
      <c r="S361" s="26"/>
      <c r="T361" s="26"/>
      <c r="U361" s="26"/>
      <c r="V361" s="26"/>
    </row>
    <row r="362" spans="1:22" ht="25">
      <c r="A362" s="243" t="s">
        <v>1457</v>
      </c>
      <c r="B362" s="243" t="s">
        <v>1471</v>
      </c>
      <c r="C362" s="299" t="s">
        <v>1550</v>
      </c>
      <c r="D362" s="308" t="s">
        <v>1386</v>
      </c>
      <c r="E362" s="243" t="s">
        <v>1502</v>
      </c>
      <c r="F362" s="47" t="s">
        <v>83</v>
      </c>
      <c r="G362" s="47" t="s">
        <v>92</v>
      </c>
      <c r="H362" s="58">
        <f>IF(F362='Risk Methedology Matrix'!B$26,5,IF(F362='Risk Methedology Matrix'!B$27,4,IF(F362='Risk Methedology Matrix'!B$28,3,IF(F362='Risk Methedology Matrix'!B$29,2,IF(F362='Risk Methedology Matrix'!B$30,1,0)))))</f>
        <v>4</v>
      </c>
      <c r="I362" s="58">
        <f>IF(G362='Risk Methedology Matrix'!G$25,5,IF(G362='Risk Methedology Matrix'!F$25,4,IF(G362='Risk Methedology Matrix'!E$25,3,IF(G362='Risk Methedology Matrix'!D$25,2,IF(G362='Risk Methedology Matrix'!C$25,1,0)))))</f>
        <v>5</v>
      </c>
      <c r="J362" s="58" t="str">
        <f t="shared" ref="J362" si="50">IF(OR(F362="",G362=""),"",IF(H362*I362&gt;=20,"Very High",IF(AND(H362*I362&lt;20,H362*I362&gt;=11),"High",IF(AND(H362*I362&lt;11,H362*I362&gt;=6),"Medium",IF(AND(H362*I362&lt;6,H362*I362&gt;=3),"Low",IF(AND(H362*I362&lt;3,H362*I362&gt;=1),"Very Low",""))))))</f>
        <v>Very High</v>
      </c>
      <c r="K362" s="243" t="s">
        <v>1523</v>
      </c>
      <c r="L362" s="47" t="s">
        <v>169</v>
      </c>
      <c r="M362" s="58" t="str">
        <f t="shared" si="40"/>
        <v>Medium</v>
      </c>
      <c r="N362" s="26"/>
      <c r="O362" s="26"/>
      <c r="P362" s="26"/>
      <c r="Q362" s="26"/>
      <c r="R362" s="26"/>
      <c r="S362" s="26"/>
      <c r="T362" s="26"/>
      <c r="U362" s="26"/>
      <c r="V362" s="26"/>
    </row>
    <row r="363" spans="1:22" ht="262.5">
      <c r="A363" s="245" t="s">
        <v>1458</v>
      </c>
      <c r="B363" s="245" t="s">
        <v>1472</v>
      </c>
      <c r="C363" s="299" t="s">
        <v>1551</v>
      </c>
      <c r="D363" s="308" t="s">
        <v>1479</v>
      </c>
      <c r="E363" s="245" t="s">
        <v>1503</v>
      </c>
      <c r="F363" s="47" t="s">
        <v>114</v>
      </c>
      <c r="G363" s="47" t="s">
        <v>84</v>
      </c>
      <c r="H363" s="58">
        <f>IF(F363='Risk Methedology Matrix'!B$26,5,IF(F363='Risk Methedology Matrix'!B$27,4,IF(F363='Risk Methedology Matrix'!B$28,3,IF(F363='Risk Methedology Matrix'!B$29,2,IF(F363='Risk Methedology Matrix'!B$30,1,0)))))</f>
        <v>3</v>
      </c>
      <c r="I363" s="58">
        <f>IF(G363='Risk Methedology Matrix'!G$25,5,IF(G363='Risk Methedology Matrix'!F$25,4,IF(G363='Risk Methedology Matrix'!E$25,3,IF(G363='Risk Methedology Matrix'!D$25,2,IF(G363='Risk Methedology Matrix'!C$25,1,0)))))</f>
        <v>4</v>
      </c>
      <c r="J363" s="58" t="str">
        <f t="shared" ref="J363" si="51">IF(OR(F363="",G363=""),"",IF(H363*I363&gt;=20,"Very High",IF(AND(H363*I363&lt;20,H363*I363&gt;=11),"High",IF(AND(H363*I363&lt;11,H363*I363&gt;=6),"Medium",IF(AND(H363*I363&lt;6,H363*I363&gt;=3),"Low",IF(AND(H363*I363&lt;3,H363*I363&gt;=1),"Very Low",""))))))</f>
        <v>High</v>
      </c>
      <c r="K363" s="245" t="s">
        <v>1524</v>
      </c>
      <c r="L363" s="47" t="s">
        <v>85</v>
      </c>
      <c r="M363" s="58" t="str">
        <f t="shared" si="40"/>
        <v>Medium</v>
      </c>
      <c r="N363" s="26"/>
      <c r="O363" s="26"/>
      <c r="P363" s="26"/>
      <c r="Q363" s="26"/>
      <c r="R363" s="26"/>
      <c r="S363" s="26"/>
      <c r="T363" s="26"/>
      <c r="U363" s="26"/>
      <c r="V363" s="26"/>
    </row>
    <row r="364" spans="1:22" ht="24">
      <c r="A364" s="300" t="s">
        <v>1652</v>
      </c>
      <c r="B364" s="300" t="s">
        <v>88</v>
      </c>
      <c r="C364" s="300" t="s">
        <v>1617</v>
      </c>
      <c r="D364" s="300" t="s">
        <v>1711</v>
      </c>
      <c r="E364" s="301" t="s">
        <v>1712</v>
      </c>
      <c r="F364" s="47" t="s">
        <v>126</v>
      </c>
      <c r="G364" s="47" t="s">
        <v>104</v>
      </c>
      <c r="H364" s="58">
        <f>IF(F364='Risk Methedology Matrix'!B$26,5,IF(F364='Risk Methedology Matrix'!B$27,4,IF(F364='Risk Methedology Matrix'!B$28,3,IF(F364='Risk Methedology Matrix'!B$29,2,IF(F364='Risk Methedology Matrix'!B$30,1,0)))))</f>
        <v>2</v>
      </c>
      <c r="I364" s="58">
        <f>IF(G364='Risk Methedology Matrix'!G$25,5,IF(G364='Risk Methedology Matrix'!F$25,4,IF(G364='Risk Methedology Matrix'!E$25,3,IF(G364='Risk Methedology Matrix'!D$25,2,IF(G364='Risk Methedology Matrix'!C$25,1,0)))))</f>
        <v>3</v>
      </c>
      <c r="J364" s="58" t="str">
        <f t="shared" ref="J364:J398" si="52">IF(OR(F364="",G364=""),"",IF(H364*I364&gt;=20,"Very High",IF(AND(H364*I364&lt;20,H364*I364&gt;=11),"High",IF(AND(H364*I364&lt;11,H364*I364&gt;=6),"Medium",IF(AND(H364*I364&lt;6,H364*I364&gt;=3),"Low",IF(AND(H364*I364&lt;3,H364*I364&gt;=1),"Very Low",""))))))</f>
        <v>Medium</v>
      </c>
      <c r="K364" s="26" t="s">
        <v>1724</v>
      </c>
      <c r="L364" s="26" t="s">
        <v>169</v>
      </c>
      <c r="M364" s="58" t="str">
        <f t="shared" si="40"/>
        <v>Very Low</v>
      </c>
      <c r="N364" s="26"/>
      <c r="O364" s="26"/>
      <c r="P364" s="26"/>
      <c r="Q364" s="26"/>
      <c r="R364" s="26"/>
      <c r="S364" s="26"/>
    </row>
    <row r="365" spans="1:22" ht="24">
      <c r="A365" s="300" t="s">
        <v>1653</v>
      </c>
      <c r="B365" s="300" t="s">
        <v>79</v>
      </c>
      <c r="C365" s="300" t="s">
        <v>1618</v>
      </c>
      <c r="D365" s="300" t="s">
        <v>1711</v>
      </c>
      <c r="E365" s="301" t="s">
        <v>1677</v>
      </c>
      <c r="F365" s="47" t="s">
        <v>126</v>
      </c>
      <c r="G365" s="47" t="s">
        <v>104</v>
      </c>
      <c r="H365" s="58">
        <f>IF(F365='Risk Methedology Matrix'!B$26,5,IF(F365='Risk Methedology Matrix'!B$27,4,IF(F365='Risk Methedology Matrix'!B$28,3,IF(F365='Risk Methedology Matrix'!B$29,2,IF(F365='Risk Methedology Matrix'!B$30,1,0)))))</f>
        <v>2</v>
      </c>
      <c r="I365" s="58">
        <f>IF(G365='Risk Methedology Matrix'!G$25,5,IF(G365='Risk Methedology Matrix'!F$25,4,IF(G365='Risk Methedology Matrix'!E$25,3,IF(G365='Risk Methedology Matrix'!D$25,2,IF(G365='Risk Methedology Matrix'!C$25,1,0)))))</f>
        <v>3</v>
      </c>
      <c r="J365" s="58" t="str">
        <f t="shared" si="52"/>
        <v>Medium</v>
      </c>
      <c r="K365" s="26" t="s">
        <v>1725</v>
      </c>
      <c r="L365" s="26" t="s">
        <v>1758</v>
      </c>
      <c r="M365" s="58" t="str">
        <f t="shared" si="40"/>
        <v>Very Low</v>
      </c>
      <c r="N365" s="26"/>
      <c r="O365" s="26"/>
      <c r="P365" s="26"/>
      <c r="Q365" s="26"/>
      <c r="R365" s="26"/>
      <c r="S365" s="26"/>
    </row>
    <row r="366" spans="1:22">
      <c r="A366" s="300" t="s">
        <v>1654</v>
      </c>
      <c r="B366" s="300" t="s">
        <v>88</v>
      </c>
      <c r="C366" s="302" t="s">
        <v>1619</v>
      </c>
      <c r="D366" s="300" t="s">
        <v>1711</v>
      </c>
      <c r="E366" s="301" t="s">
        <v>1678</v>
      </c>
      <c r="F366" s="47" t="s">
        <v>126</v>
      </c>
      <c r="G366" s="47" t="s">
        <v>104</v>
      </c>
      <c r="H366" s="58">
        <f>IF(F366='Risk Methedology Matrix'!B$26,5,IF(F366='Risk Methedology Matrix'!B$27,4,IF(F366='Risk Methedology Matrix'!B$28,3,IF(F366='Risk Methedology Matrix'!B$29,2,IF(F366='Risk Methedology Matrix'!B$30,1,0)))))</f>
        <v>2</v>
      </c>
      <c r="I366" s="58">
        <f>IF(G366='Risk Methedology Matrix'!G$25,5,IF(G366='Risk Methedology Matrix'!F$25,4,IF(G366='Risk Methedology Matrix'!E$25,3,IF(G366='Risk Methedology Matrix'!D$25,2,IF(G366='Risk Methedology Matrix'!C$25,1,0)))))</f>
        <v>3</v>
      </c>
      <c r="J366" s="58" t="str">
        <f t="shared" si="52"/>
        <v>Medium</v>
      </c>
      <c r="K366" s="26" t="s">
        <v>1726</v>
      </c>
      <c r="L366" s="26" t="s">
        <v>1758</v>
      </c>
      <c r="M366" s="58" t="str">
        <f t="shared" si="40"/>
        <v>Very Low</v>
      </c>
      <c r="N366" s="26"/>
      <c r="O366" s="26"/>
      <c r="P366" s="26"/>
      <c r="Q366" s="26"/>
      <c r="R366" s="26"/>
      <c r="S366" s="26"/>
    </row>
    <row r="367" spans="1:22" ht="14.5">
      <c r="A367" s="300" t="s">
        <v>1655</v>
      </c>
      <c r="B367" s="303" t="s">
        <v>88</v>
      </c>
      <c r="C367" s="302" t="s">
        <v>1620</v>
      </c>
      <c r="D367" s="300" t="s">
        <v>1711</v>
      </c>
      <c r="E367" s="301" t="s">
        <v>1679</v>
      </c>
      <c r="F367" s="47" t="s">
        <v>126</v>
      </c>
      <c r="G367" s="47" t="s">
        <v>104</v>
      </c>
      <c r="H367" s="58">
        <f>IF(F367='Risk Methedology Matrix'!B$26,5,IF(F367='Risk Methedology Matrix'!B$27,4,IF(F367='Risk Methedology Matrix'!B$28,3,IF(F367='Risk Methedology Matrix'!B$29,2,IF(F367='Risk Methedology Matrix'!B$30,1,0)))))</f>
        <v>2</v>
      </c>
      <c r="I367" s="58">
        <f>IF(G367='Risk Methedology Matrix'!G$25,5,IF(G367='Risk Methedology Matrix'!F$25,4,IF(G367='Risk Methedology Matrix'!E$25,3,IF(G367='Risk Methedology Matrix'!D$25,2,IF(G367='Risk Methedology Matrix'!C$25,1,0)))))</f>
        <v>3</v>
      </c>
      <c r="J367" s="58" t="str">
        <f t="shared" si="52"/>
        <v>Medium</v>
      </c>
      <c r="K367" s="26" t="s">
        <v>1727</v>
      </c>
      <c r="L367" s="26" t="s">
        <v>1759</v>
      </c>
      <c r="M367" s="58" t="str">
        <f t="shared" si="40"/>
        <v>Low</v>
      </c>
      <c r="N367" s="26"/>
      <c r="O367" s="26"/>
      <c r="P367" s="26"/>
      <c r="Q367" s="26"/>
      <c r="R367" s="26"/>
      <c r="S367" s="26"/>
    </row>
    <row r="368" spans="1:22" ht="14.5">
      <c r="A368" s="300" t="s">
        <v>1656</v>
      </c>
      <c r="B368" s="303" t="s">
        <v>79</v>
      </c>
      <c r="C368" s="302" t="s">
        <v>1621</v>
      </c>
      <c r="D368" s="300" t="s">
        <v>1711</v>
      </c>
      <c r="E368" s="301" t="s">
        <v>1680</v>
      </c>
      <c r="F368" s="47" t="s">
        <v>126</v>
      </c>
      <c r="G368" s="47" t="s">
        <v>104</v>
      </c>
      <c r="H368" s="58">
        <f>IF(F368='Risk Methedology Matrix'!B$26,5,IF(F368='Risk Methedology Matrix'!B$27,4,IF(F368='Risk Methedology Matrix'!B$28,3,IF(F368='Risk Methedology Matrix'!B$29,2,IF(F368='Risk Methedology Matrix'!B$30,1,0)))))</f>
        <v>2</v>
      </c>
      <c r="I368" s="58">
        <f>IF(G368='Risk Methedology Matrix'!G$25,5,IF(G368='Risk Methedology Matrix'!F$25,4,IF(G368='Risk Methedology Matrix'!E$25,3,IF(G368='Risk Methedology Matrix'!D$25,2,IF(G368='Risk Methedology Matrix'!C$25,1,0)))))</f>
        <v>3</v>
      </c>
      <c r="J368" s="58" t="str">
        <f t="shared" si="52"/>
        <v>Medium</v>
      </c>
      <c r="K368" s="26" t="s">
        <v>1728</v>
      </c>
      <c r="L368" s="26" t="s">
        <v>1759</v>
      </c>
      <c r="M368" s="58" t="str">
        <f t="shared" si="40"/>
        <v>Low</v>
      </c>
      <c r="N368" s="26"/>
      <c r="O368" s="26"/>
      <c r="P368" s="26"/>
      <c r="Q368" s="26"/>
      <c r="R368" s="26"/>
      <c r="S368" s="26"/>
    </row>
    <row r="369" spans="1:19" ht="14.5">
      <c r="A369" s="300" t="s">
        <v>1657</v>
      </c>
      <c r="B369" s="303" t="s">
        <v>79</v>
      </c>
      <c r="C369" s="302" t="s">
        <v>1622</v>
      </c>
      <c r="D369" s="300" t="s">
        <v>1711</v>
      </c>
      <c r="E369" s="301" t="s">
        <v>1681</v>
      </c>
      <c r="F369" s="47" t="s">
        <v>165</v>
      </c>
      <c r="G369" s="47" t="s">
        <v>104</v>
      </c>
      <c r="H369" s="58">
        <f>IF(F369='Risk Methedology Matrix'!B$26,5,IF(F369='Risk Methedology Matrix'!B$27,4,IF(F369='Risk Methedology Matrix'!B$28,3,IF(F369='Risk Methedology Matrix'!B$29,2,IF(F369='Risk Methedology Matrix'!B$30,1,0)))))</f>
        <v>1</v>
      </c>
      <c r="I369" s="58">
        <f>IF(G369='Risk Methedology Matrix'!G$25,5,IF(G369='Risk Methedology Matrix'!F$25,4,IF(G369='Risk Methedology Matrix'!E$25,3,IF(G369='Risk Methedology Matrix'!D$25,2,IF(G369='Risk Methedology Matrix'!C$25,1,0)))))</f>
        <v>3</v>
      </c>
      <c r="J369" s="58" t="str">
        <f t="shared" si="52"/>
        <v>Low</v>
      </c>
      <c r="K369" s="26" t="s">
        <v>1729</v>
      </c>
      <c r="L369" s="26" t="s">
        <v>169</v>
      </c>
      <c r="M369" s="58" t="str">
        <f t="shared" si="40"/>
        <v>Very Low</v>
      </c>
      <c r="N369" s="26"/>
      <c r="O369" s="26"/>
      <c r="P369" s="26"/>
      <c r="Q369" s="26"/>
      <c r="R369" s="26"/>
      <c r="S369" s="26"/>
    </row>
    <row r="370" spans="1:19" ht="14.5">
      <c r="A370" s="300" t="s">
        <v>1658</v>
      </c>
      <c r="B370" s="303" t="s">
        <v>79</v>
      </c>
      <c r="C370" s="302" t="s">
        <v>1623</v>
      </c>
      <c r="D370" s="300" t="s">
        <v>1711</v>
      </c>
      <c r="E370" s="301" t="s">
        <v>1682</v>
      </c>
      <c r="F370" s="47" t="s">
        <v>126</v>
      </c>
      <c r="G370" s="47" t="s">
        <v>84</v>
      </c>
      <c r="H370" s="58">
        <f>IF(F370='Risk Methedology Matrix'!B$26,5,IF(F370='Risk Methedology Matrix'!B$27,4,IF(F370='Risk Methedology Matrix'!B$28,3,IF(F370='Risk Methedology Matrix'!B$29,2,IF(F370='Risk Methedology Matrix'!B$30,1,0)))))</f>
        <v>2</v>
      </c>
      <c r="I370" s="58">
        <f>IF(G370='Risk Methedology Matrix'!G$25,5,IF(G370='Risk Methedology Matrix'!F$25,4,IF(G370='Risk Methedology Matrix'!E$25,3,IF(G370='Risk Methedology Matrix'!D$25,2,IF(G370='Risk Methedology Matrix'!C$25,1,0)))))</f>
        <v>4</v>
      </c>
      <c r="J370" s="58" t="str">
        <f t="shared" si="52"/>
        <v>Medium</v>
      </c>
      <c r="K370" s="26" t="s">
        <v>1724</v>
      </c>
      <c r="L370" s="26" t="s">
        <v>1758</v>
      </c>
      <c r="M370" s="58" t="str">
        <f t="shared" si="40"/>
        <v>Very Low</v>
      </c>
      <c r="N370" s="26"/>
      <c r="O370" s="26"/>
      <c r="P370" s="26"/>
      <c r="Q370" s="26"/>
      <c r="R370" s="26"/>
      <c r="S370" s="26"/>
    </row>
    <row r="371" spans="1:19" ht="14.5">
      <c r="A371" s="300" t="s">
        <v>1659</v>
      </c>
      <c r="B371" s="303" t="s">
        <v>88</v>
      </c>
      <c r="C371" s="302" t="s">
        <v>1624</v>
      </c>
      <c r="D371" s="300" t="s">
        <v>1711</v>
      </c>
      <c r="E371" s="301" t="s">
        <v>1683</v>
      </c>
      <c r="F371" s="47" t="s">
        <v>126</v>
      </c>
      <c r="G371" s="47" t="s">
        <v>104</v>
      </c>
      <c r="H371" s="58">
        <f>IF(F371='Risk Methedology Matrix'!B$26,5,IF(F371='Risk Methedology Matrix'!B$27,4,IF(F371='Risk Methedology Matrix'!B$28,3,IF(F371='Risk Methedology Matrix'!B$29,2,IF(F371='Risk Methedology Matrix'!B$30,1,0)))))</f>
        <v>2</v>
      </c>
      <c r="I371" s="58">
        <f>IF(G371='Risk Methedology Matrix'!G$25,5,IF(G371='Risk Methedology Matrix'!F$25,4,IF(G371='Risk Methedology Matrix'!E$25,3,IF(G371='Risk Methedology Matrix'!D$25,2,IF(G371='Risk Methedology Matrix'!C$25,1,0)))))</f>
        <v>3</v>
      </c>
      <c r="J371" s="58" t="str">
        <f t="shared" si="52"/>
        <v>Medium</v>
      </c>
      <c r="K371" s="26" t="s">
        <v>1730</v>
      </c>
      <c r="L371" s="26" t="s">
        <v>1758</v>
      </c>
      <c r="M371" s="58" t="str">
        <f t="shared" si="40"/>
        <v>Very Low</v>
      </c>
      <c r="N371" s="26"/>
      <c r="O371" s="26"/>
      <c r="P371" s="26"/>
      <c r="Q371" s="26"/>
      <c r="R371" s="26"/>
      <c r="S371" s="26"/>
    </row>
    <row r="372" spans="1:19" ht="24">
      <c r="A372" s="300" t="s">
        <v>1660</v>
      </c>
      <c r="B372" s="303" t="s">
        <v>79</v>
      </c>
      <c r="C372" s="302" t="s">
        <v>1625</v>
      </c>
      <c r="D372" s="300" t="s">
        <v>1711</v>
      </c>
      <c r="E372" s="301" t="s">
        <v>1684</v>
      </c>
      <c r="F372" s="47" t="s">
        <v>165</v>
      </c>
      <c r="G372" s="47" t="s">
        <v>104</v>
      </c>
      <c r="H372" s="58">
        <f>IF(F372='Risk Methedology Matrix'!B$26,5,IF(F372='Risk Methedology Matrix'!B$27,4,IF(F372='Risk Methedology Matrix'!B$28,3,IF(F372='Risk Methedology Matrix'!B$29,2,IF(F372='Risk Methedology Matrix'!B$30,1,0)))))</f>
        <v>1</v>
      </c>
      <c r="I372" s="58">
        <f>IF(G372='Risk Methedology Matrix'!G$25,5,IF(G372='Risk Methedology Matrix'!F$25,4,IF(G372='Risk Methedology Matrix'!E$25,3,IF(G372='Risk Methedology Matrix'!D$25,2,IF(G372='Risk Methedology Matrix'!C$25,1,0)))))</f>
        <v>3</v>
      </c>
      <c r="J372" s="58" t="str">
        <f t="shared" si="52"/>
        <v>Low</v>
      </c>
      <c r="K372" s="26" t="s">
        <v>1731</v>
      </c>
      <c r="L372" s="26" t="s">
        <v>1758</v>
      </c>
      <c r="M372" s="58" t="str">
        <f t="shared" si="40"/>
        <v>Very Low</v>
      </c>
      <c r="N372" s="26"/>
      <c r="O372" s="26"/>
      <c r="P372" s="26"/>
      <c r="Q372" s="26"/>
      <c r="R372" s="26"/>
      <c r="S372" s="26"/>
    </row>
    <row r="373" spans="1:19" ht="24">
      <c r="A373" s="300" t="s">
        <v>1661</v>
      </c>
      <c r="B373" s="303" t="s">
        <v>79</v>
      </c>
      <c r="C373" s="302" t="s">
        <v>1625</v>
      </c>
      <c r="D373" s="300" t="s">
        <v>1711</v>
      </c>
      <c r="E373" s="301" t="s">
        <v>1684</v>
      </c>
      <c r="F373" s="47" t="s">
        <v>165</v>
      </c>
      <c r="G373" s="47" t="s">
        <v>84</v>
      </c>
      <c r="H373" s="58">
        <f>IF(F373='Risk Methedology Matrix'!B$26,5,IF(F373='Risk Methedology Matrix'!B$27,4,IF(F373='Risk Methedology Matrix'!B$28,3,IF(F373='Risk Methedology Matrix'!B$29,2,IF(F373='Risk Methedology Matrix'!B$30,1,0)))))</f>
        <v>1</v>
      </c>
      <c r="I373" s="58">
        <f>IF(G373='Risk Methedology Matrix'!G$25,5,IF(G373='Risk Methedology Matrix'!F$25,4,IF(G373='Risk Methedology Matrix'!E$25,3,IF(G373='Risk Methedology Matrix'!D$25,2,IF(G373='Risk Methedology Matrix'!C$25,1,0)))))</f>
        <v>4</v>
      </c>
      <c r="J373" s="58" t="str">
        <f t="shared" si="52"/>
        <v>Low</v>
      </c>
      <c r="K373" s="26" t="s">
        <v>1731</v>
      </c>
      <c r="L373" s="26" t="s">
        <v>1758</v>
      </c>
      <c r="M373" s="58" t="str">
        <f t="shared" si="40"/>
        <v>Very Low</v>
      </c>
      <c r="N373" s="26"/>
      <c r="O373" s="26"/>
      <c r="P373" s="26"/>
      <c r="Q373" s="26"/>
      <c r="R373" s="26"/>
      <c r="S373" s="26"/>
    </row>
    <row r="374" spans="1:19" ht="14.5">
      <c r="A374" s="300" t="s">
        <v>1662</v>
      </c>
      <c r="B374" s="303" t="s">
        <v>79</v>
      </c>
      <c r="C374" s="302" t="s">
        <v>1626</v>
      </c>
      <c r="D374" s="300" t="s">
        <v>1711</v>
      </c>
      <c r="E374" s="301" t="s">
        <v>1685</v>
      </c>
      <c r="F374" s="47" t="s">
        <v>126</v>
      </c>
      <c r="G374" s="47" t="s">
        <v>104</v>
      </c>
      <c r="H374" s="58">
        <f>IF(F374='Risk Methedology Matrix'!B$26,5,IF(F374='Risk Methedology Matrix'!B$27,4,IF(F374='Risk Methedology Matrix'!B$28,3,IF(F374='Risk Methedology Matrix'!B$29,2,IF(F374='Risk Methedology Matrix'!B$30,1,0)))))</f>
        <v>2</v>
      </c>
      <c r="I374" s="58">
        <f>IF(G374='Risk Methedology Matrix'!G$25,5,IF(G374='Risk Methedology Matrix'!F$25,4,IF(G374='Risk Methedology Matrix'!E$25,3,IF(G374='Risk Methedology Matrix'!D$25,2,IF(G374='Risk Methedology Matrix'!C$25,1,0)))))</f>
        <v>3</v>
      </c>
      <c r="J374" s="58" t="str">
        <f t="shared" si="52"/>
        <v>Medium</v>
      </c>
      <c r="K374" s="26" t="s">
        <v>1732</v>
      </c>
      <c r="L374" s="26" t="s">
        <v>1758</v>
      </c>
      <c r="M374" s="58" t="str">
        <f t="shared" si="40"/>
        <v>Very Low</v>
      </c>
      <c r="N374" s="26"/>
      <c r="O374" s="26"/>
      <c r="P374" s="26"/>
      <c r="Q374" s="26"/>
      <c r="R374" s="26"/>
      <c r="S374" s="26"/>
    </row>
    <row r="375" spans="1:19" ht="24">
      <c r="A375" s="300" t="s">
        <v>1663</v>
      </c>
      <c r="B375" s="303" t="s">
        <v>79</v>
      </c>
      <c r="C375" s="302" t="s">
        <v>1627</v>
      </c>
      <c r="D375" s="300" t="s">
        <v>1711</v>
      </c>
      <c r="E375" s="301" t="s">
        <v>1686</v>
      </c>
      <c r="F375" s="47" t="s">
        <v>126</v>
      </c>
      <c r="G375" s="47" t="s">
        <v>104</v>
      </c>
      <c r="H375" s="58">
        <f>IF(F375='Risk Methedology Matrix'!B$26,5,IF(F375='Risk Methedology Matrix'!B$27,4,IF(F375='Risk Methedology Matrix'!B$28,3,IF(F375='Risk Methedology Matrix'!B$29,2,IF(F375='Risk Methedology Matrix'!B$30,1,0)))))</f>
        <v>2</v>
      </c>
      <c r="I375" s="58">
        <f>IF(G375='Risk Methedology Matrix'!G$25,5,IF(G375='Risk Methedology Matrix'!F$25,4,IF(G375='Risk Methedology Matrix'!E$25,3,IF(G375='Risk Methedology Matrix'!D$25,2,IF(G375='Risk Methedology Matrix'!C$25,1,0)))))</f>
        <v>3</v>
      </c>
      <c r="J375" s="58" t="str">
        <f t="shared" si="52"/>
        <v>Medium</v>
      </c>
      <c r="K375" s="26" t="s">
        <v>1733</v>
      </c>
      <c r="L375" s="26" t="s">
        <v>169</v>
      </c>
      <c r="M375" s="58" t="str">
        <f t="shared" si="40"/>
        <v>Very Low</v>
      </c>
      <c r="N375" s="26"/>
      <c r="O375" s="26"/>
      <c r="P375" s="26"/>
      <c r="Q375" s="26"/>
      <c r="R375" s="26"/>
      <c r="S375" s="26"/>
    </row>
    <row r="376" spans="1:19" ht="14.5">
      <c r="A376" s="300" t="s">
        <v>1664</v>
      </c>
      <c r="B376" s="303" t="s">
        <v>88</v>
      </c>
      <c r="C376" s="302" t="s">
        <v>1628</v>
      </c>
      <c r="D376" s="300" t="s">
        <v>1711</v>
      </c>
      <c r="E376" s="301" t="s">
        <v>1687</v>
      </c>
      <c r="F376" s="47" t="s">
        <v>126</v>
      </c>
      <c r="G376" s="47" t="s">
        <v>104</v>
      </c>
      <c r="H376" s="58">
        <f>IF(F376='Risk Methedology Matrix'!B$26,5,IF(F376='Risk Methedology Matrix'!B$27,4,IF(F376='Risk Methedology Matrix'!B$28,3,IF(F376='Risk Methedology Matrix'!B$29,2,IF(F376='Risk Methedology Matrix'!B$30,1,0)))))</f>
        <v>2</v>
      </c>
      <c r="I376" s="58">
        <f>IF(G376='Risk Methedology Matrix'!G$25,5,IF(G376='Risk Methedology Matrix'!F$25,4,IF(G376='Risk Methedology Matrix'!E$25,3,IF(G376='Risk Methedology Matrix'!D$25,2,IF(G376='Risk Methedology Matrix'!C$25,1,0)))))</f>
        <v>3</v>
      </c>
      <c r="J376" s="58" t="str">
        <f t="shared" si="52"/>
        <v>Medium</v>
      </c>
      <c r="K376" s="26" t="s">
        <v>1734</v>
      </c>
      <c r="L376" s="26" t="s">
        <v>169</v>
      </c>
      <c r="M376" s="58" t="str">
        <f t="shared" si="40"/>
        <v>Very Low</v>
      </c>
      <c r="N376" s="26"/>
      <c r="O376" s="26"/>
      <c r="P376" s="26"/>
      <c r="Q376" s="26"/>
      <c r="R376" s="26"/>
      <c r="S376" s="26"/>
    </row>
    <row r="377" spans="1:19" ht="24">
      <c r="A377" s="300" t="s">
        <v>1665</v>
      </c>
      <c r="B377" s="300" t="s">
        <v>355</v>
      </c>
      <c r="C377" s="302" t="s">
        <v>1629</v>
      </c>
      <c r="D377" s="300" t="s">
        <v>1711</v>
      </c>
      <c r="E377" s="301" t="s">
        <v>1688</v>
      </c>
      <c r="F377" s="47" t="s">
        <v>126</v>
      </c>
      <c r="G377" s="47" t="s">
        <v>104</v>
      </c>
      <c r="H377" s="58">
        <f>IF(F377='Risk Methedology Matrix'!B$26,5,IF(F377='Risk Methedology Matrix'!B$27,4,IF(F377='Risk Methedology Matrix'!B$28,3,IF(F377='Risk Methedology Matrix'!B$29,2,IF(F377='Risk Methedology Matrix'!B$30,1,0)))))</f>
        <v>2</v>
      </c>
      <c r="I377" s="58">
        <f>IF(G377='Risk Methedology Matrix'!G$25,5,IF(G377='Risk Methedology Matrix'!F$25,4,IF(G377='Risk Methedology Matrix'!E$25,3,IF(G377='Risk Methedology Matrix'!D$25,2,IF(G377='Risk Methedology Matrix'!C$25,1,0)))))</f>
        <v>3</v>
      </c>
      <c r="J377" s="58" t="str">
        <f t="shared" si="52"/>
        <v>Medium</v>
      </c>
      <c r="K377" s="26" t="s">
        <v>1735</v>
      </c>
      <c r="L377" s="26" t="s">
        <v>169</v>
      </c>
      <c r="M377" s="58" t="str">
        <f t="shared" si="40"/>
        <v>Very Low</v>
      </c>
      <c r="N377" s="26"/>
      <c r="O377" s="26"/>
      <c r="P377" s="26"/>
      <c r="Q377" s="26"/>
      <c r="R377" s="26"/>
      <c r="S377" s="26"/>
    </row>
    <row r="378" spans="1:19">
      <c r="A378" s="300" t="s">
        <v>1666</v>
      </c>
      <c r="B378" s="300" t="s">
        <v>88</v>
      </c>
      <c r="C378" s="302" t="s">
        <v>1630</v>
      </c>
      <c r="D378" s="300" t="s">
        <v>1711</v>
      </c>
      <c r="E378" s="301" t="s">
        <v>1689</v>
      </c>
      <c r="F378" s="47" t="s">
        <v>126</v>
      </c>
      <c r="G378" s="47" t="s">
        <v>161</v>
      </c>
      <c r="H378" s="58">
        <f>IF(F378='Risk Methedology Matrix'!B$26,5,IF(F378='Risk Methedology Matrix'!B$27,4,IF(F378='Risk Methedology Matrix'!B$28,3,IF(F378='Risk Methedology Matrix'!B$29,2,IF(F378='Risk Methedology Matrix'!B$30,1,0)))))</f>
        <v>2</v>
      </c>
      <c r="I378" s="58">
        <f>IF(G378='Risk Methedology Matrix'!G$25,5,IF(G378='Risk Methedology Matrix'!F$25,4,IF(G378='Risk Methedology Matrix'!E$25,3,IF(G378='Risk Methedology Matrix'!D$25,2,IF(G378='Risk Methedology Matrix'!C$25,1,0)))))</f>
        <v>2</v>
      </c>
      <c r="J378" s="58" t="str">
        <f t="shared" si="52"/>
        <v>Low</v>
      </c>
      <c r="K378" s="26" t="s">
        <v>1736</v>
      </c>
      <c r="L378" s="26" t="s">
        <v>169</v>
      </c>
      <c r="M378" s="58" t="str">
        <f t="shared" si="40"/>
        <v>Very Low</v>
      </c>
      <c r="N378" s="26"/>
      <c r="O378" s="26"/>
      <c r="P378" s="26"/>
      <c r="Q378" s="26"/>
      <c r="R378" s="26"/>
      <c r="S378" s="26"/>
    </row>
    <row r="379" spans="1:19" ht="24">
      <c r="A379" s="300" t="s">
        <v>1667</v>
      </c>
      <c r="B379" s="300" t="s">
        <v>88</v>
      </c>
      <c r="C379" s="302" t="s">
        <v>1631</v>
      </c>
      <c r="D379" s="300" t="s">
        <v>1711</v>
      </c>
      <c r="E379" s="301" t="s">
        <v>1690</v>
      </c>
      <c r="F379" s="47" t="s">
        <v>126</v>
      </c>
      <c r="G379" s="47" t="s">
        <v>104</v>
      </c>
      <c r="H379" s="58">
        <f>IF(F379='Risk Methedology Matrix'!B$26,5,IF(F379='Risk Methedology Matrix'!B$27,4,IF(F379='Risk Methedology Matrix'!B$28,3,IF(F379='Risk Methedology Matrix'!B$29,2,IF(F379='Risk Methedology Matrix'!B$30,1,0)))))</f>
        <v>2</v>
      </c>
      <c r="I379" s="58">
        <f>IF(G379='Risk Methedology Matrix'!G$25,5,IF(G379='Risk Methedology Matrix'!F$25,4,IF(G379='Risk Methedology Matrix'!E$25,3,IF(G379='Risk Methedology Matrix'!D$25,2,IF(G379='Risk Methedology Matrix'!C$25,1,0)))))</f>
        <v>3</v>
      </c>
      <c r="J379" s="58" t="str">
        <f t="shared" si="52"/>
        <v>Medium</v>
      </c>
      <c r="K379" s="26" t="s">
        <v>1737</v>
      </c>
      <c r="L379" s="26" t="s">
        <v>169</v>
      </c>
      <c r="M379" s="58" t="str">
        <f t="shared" si="40"/>
        <v>Very Low</v>
      </c>
      <c r="N379" s="26"/>
      <c r="O379" s="26"/>
      <c r="P379" s="26"/>
      <c r="Q379" s="26"/>
      <c r="R379" s="26"/>
      <c r="S379" s="26"/>
    </row>
    <row r="380" spans="1:19">
      <c r="A380" s="300" t="s">
        <v>1668</v>
      </c>
      <c r="B380" s="300" t="s">
        <v>88</v>
      </c>
      <c r="C380" s="302" t="s">
        <v>1632</v>
      </c>
      <c r="D380" s="300" t="s">
        <v>1711</v>
      </c>
      <c r="E380" s="301" t="s">
        <v>1691</v>
      </c>
      <c r="F380" s="47" t="s">
        <v>126</v>
      </c>
      <c r="G380" s="47" t="s">
        <v>104</v>
      </c>
      <c r="H380" s="58">
        <f>IF(F380='Risk Methedology Matrix'!B$26,5,IF(F380='Risk Methedology Matrix'!B$27,4,IF(F380='Risk Methedology Matrix'!B$28,3,IF(F380='Risk Methedology Matrix'!B$29,2,IF(F380='Risk Methedology Matrix'!B$30,1,0)))))</f>
        <v>2</v>
      </c>
      <c r="I380" s="58">
        <f>IF(G380='Risk Methedology Matrix'!G$25,5,IF(G380='Risk Methedology Matrix'!F$25,4,IF(G380='Risk Methedology Matrix'!E$25,3,IF(G380='Risk Methedology Matrix'!D$25,2,IF(G380='Risk Methedology Matrix'!C$25,1,0)))))</f>
        <v>3</v>
      </c>
      <c r="J380" s="58" t="str">
        <f t="shared" si="52"/>
        <v>Medium</v>
      </c>
      <c r="K380" s="26" t="s">
        <v>1738</v>
      </c>
      <c r="L380" s="26" t="s">
        <v>169</v>
      </c>
      <c r="M380" s="58" t="str">
        <f t="shared" si="40"/>
        <v>Very Low</v>
      </c>
      <c r="N380" s="26"/>
      <c r="O380" s="26"/>
      <c r="P380" s="26"/>
      <c r="Q380" s="26"/>
      <c r="R380" s="26"/>
      <c r="S380" s="26"/>
    </row>
    <row r="381" spans="1:19" ht="36">
      <c r="A381" s="300" t="s">
        <v>1669</v>
      </c>
      <c r="B381" s="300" t="s">
        <v>88</v>
      </c>
      <c r="C381" s="302" t="s">
        <v>1633</v>
      </c>
      <c r="D381" s="300" t="s">
        <v>1711</v>
      </c>
      <c r="E381" s="301" t="s">
        <v>1692</v>
      </c>
      <c r="F381" s="47" t="s">
        <v>126</v>
      </c>
      <c r="G381" s="47" t="s">
        <v>104</v>
      </c>
      <c r="H381" s="58">
        <f>IF(F381='Risk Methedology Matrix'!B$26,5,IF(F381='Risk Methedology Matrix'!B$27,4,IF(F381='Risk Methedology Matrix'!B$28,3,IF(F381='Risk Methedology Matrix'!B$29,2,IF(F381='Risk Methedology Matrix'!B$30,1,0)))))</f>
        <v>2</v>
      </c>
      <c r="I381" s="58">
        <f>IF(G381='Risk Methedology Matrix'!G$25,5,IF(G381='Risk Methedology Matrix'!F$25,4,IF(G381='Risk Methedology Matrix'!E$25,3,IF(G381='Risk Methedology Matrix'!D$25,2,IF(G381='Risk Methedology Matrix'!C$25,1,0)))))</f>
        <v>3</v>
      </c>
      <c r="J381" s="58" t="str">
        <f t="shared" si="52"/>
        <v>Medium</v>
      </c>
      <c r="K381" s="26" t="s">
        <v>1739</v>
      </c>
      <c r="L381" s="26" t="s">
        <v>169</v>
      </c>
      <c r="M381" s="58" t="str">
        <f t="shared" si="40"/>
        <v>Very Low</v>
      </c>
      <c r="N381" s="26"/>
      <c r="O381" s="26"/>
      <c r="P381" s="26"/>
      <c r="Q381" s="26"/>
      <c r="R381" s="26"/>
      <c r="S381" s="26"/>
    </row>
    <row r="382" spans="1:19" ht="24">
      <c r="A382" s="300" t="s">
        <v>1670</v>
      </c>
      <c r="B382" s="300" t="s">
        <v>88</v>
      </c>
      <c r="C382" s="302" t="s">
        <v>1634</v>
      </c>
      <c r="D382" s="300" t="s">
        <v>1711</v>
      </c>
      <c r="E382" s="301" t="s">
        <v>1693</v>
      </c>
      <c r="F382" s="47" t="s">
        <v>165</v>
      </c>
      <c r="G382" s="47" t="s">
        <v>84</v>
      </c>
      <c r="H382" s="58">
        <f>IF(F382='Risk Methedology Matrix'!B$26,5,IF(F382='Risk Methedology Matrix'!B$27,4,IF(F382='Risk Methedology Matrix'!B$28,3,IF(F382='Risk Methedology Matrix'!B$29,2,IF(F382='Risk Methedology Matrix'!B$30,1,0)))))</f>
        <v>1</v>
      </c>
      <c r="I382" s="58">
        <f>IF(G382='Risk Methedology Matrix'!G$25,5,IF(G382='Risk Methedology Matrix'!F$25,4,IF(G382='Risk Methedology Matrix'!E$25,3,IF(G382='Risk Methedology Matrix'!D$25,2,IF(G382='Risk Methedology Matrix'!C$25,1,0)))))</f>
        <v>4</v>
      </c>
      <c r="J382" s="58" t="str">
        <f t="shared" si="52"/>
        <v>Low</v>
      </c>
      <c r="K382" s="26" t="s">
        <v>1740</v>
      </c>
      <c r="L382" s="26" t="s">
        <v>169</v>
      </c>
      <c r="M382" s="58" t="str">
        <f t="shared" si="40"/>
        <v>Very Low</v>
      </c>
      <c r="N382" s="26"/>
      <c r="O382" s="26"/>
      <c r="P382" s="26"/>
      <c r="Q382" s="26"/>
      <c r="R382" s="26"/>
      <c r="S382" s="26"/>
    </row>
    <row r="383" spans="1:19" ht="24">
      <c r="A383" s="300" t="s">
        <v>1671</v>
      </c>
      <c r="B383" s="300" t="s">
        <v>88</v>
      </c>
      <c r="C383" s="302" t="s">
        <v>1635</v>
      </c>
      <c r="D383" s="300" t="s">
        <v>1711</v>
      </c>
      <c r="E383" s="301" t="s">
        <v>1694</v>
      </c>
      <c r="F383" s="47" t="s">
        <v>165</v>
      </c>
      <c r="G383" s="47" t="s">
        <v>84</v>
      </c>
      <c r="H383" s="58">
        <f>IF(F383='Risk Methedology Matrix'!B$26,5,IF(F383='Risk Methedology Matrix'!B$27,4,IF(F383='Risk Methedology Matrix'!B$28,3,IF(F383='Risk Methedology Matrix'!B$29,2,IF(F383='Risk Methedology Matrix'!B$30,1,0)))))</f>
        <v>1</v>
      </c>
      <c r="I383" s="58">
        <f>IF(G383='Risk Methedology Matrix'!G$25,5,IF(G383='Risk Methedology Matrix'!F$25,4,IF(G383='Risk Methedology Matrix'!E$25,3,IF(G383='Risk Methedology Matrix'!D$25,2,IF(G383='Risk Methedology Matrix'!C$25,1,0)))))</f>
        <v>4</v>
      </c>
      <c r="J383" s="58" t="str">
        <f t="shared" si="52"/>
        <v>Low</v>
      </c>
      <c r="K383" s="26" t="s">
        <v>1741</v>
      </c>
      <c r="L383" s="26" t="s">
        <v>169</v>
      </c>
      <c r="M383" s="58" t="str">
        <f t="shared" si="40"/>
        <v>Very Low</v>
      </c>
      <c r="N383" s="26"/>
      <c r="O383" s="26"/>
      <c r="P383" s="26"/>
      <c r="Q383" s="26"/>
      <c r="R383" s="26"/>
      <c r="S383" s="26"/>
    </row>
    <row r="384" spans="1:19" ht="24">
      <c r="A384" s="300" t="s">
        <v>1672</v>
      </c>
      <c r="B384" s="300" t="s">
        <v>88</v>
      </c>
      <c r="C384" s="302" t="s">
        <v>1636</v>
      </c>
      <c r="D384" s="300" t="s">
        <v>1711</v>
      </c>
      <c r="E384" s="301" t="s">
        <v>1695</v>
      </c>
      <c r="F384" s="47" t="s">
        <v>126</v>
      </c>
      <c r="G384" s="47" t="s">
        <v>84</v>
      </c>
      <c r="H384" s="58">
        <f>IF(F384='Risk Methedology Matrix'!B$26,5,IF(F384='Risk Methedology Matrix'!B$27,4,IF(F384='Risk Methedology Matrix'!B$28,3,IF(F384='Risk Methedology Matrix'!B$29,2,IF(F384='Risk Methedology Matrix'!B$30,1,0)))))</f>
        <v>2</v>
      </c>
      <c r="I384" s="58">
        <f>IF(G384='Risk Methedology Matrix'!G$25,5,IF(G384='Risk Methedology Matrix'!F$25,4,IF(G384='Risk Methedology Matrix'!E$25,3,IF(G384='Risk Methedology Matrix'!D$25,2,IF(G384='Risk Methedology Matrix'!C$25,1,0)))))</f>
        <v>4</v>
      </c>
      <c r="J384" s="58" t="str">
        <f t="shared" si="52"/>
        <v>Medium</v>
      </c>
      <c r="K384" s="26" t="s">
        <v>1742</v>
      </c>
      <c r="L384" s="26" t="s">
        <v>169</v>
      </c>
      <c r="M384" s="58" t="str">
        <f t="shared" si="40"/>
        <v>Very Low</v>
      </c>
      <c r="N384" s="26"/>
      <c r="O384" s="26"/>
      <c r="P384" s="26"/>
      <c r="Q384" s="26"/>
      <c r="R384" s="26"/>
      <c r="S384" s="26"/>
    </row>
    <row r="385" spans="1:19">
      <c r="A385" s="300" t="s">
        <v>1673</v>
      </c>
      <c r="B385" s="300" t="s">
        <v>88</v>
      </c>
      <c r="C385" s="302" t="s">
        <v>1637</v>
      </c>
      <c r="D385" s="300" t="s">
        <v>1711</v>
      </c>
      <c r="E385" s="301" t="s">
        <v>1696</v>
      </c>
      <c r="F385" s="47" t="s">
        <v>126</v>
      </c>
      <c r="G385" s="47" t="s">
        <v>104</v>
      </c>
      <c r="H385" s="58">
        <f>IF(F385='Risk Methedology Matrix'!B$26,5,IF(F385='Risk Methedology Matrix'!B$27,4,IF(F385='Risk Methedology Matrix'!B$28,3,IF(F385='Risk Methedology Matrix'!B$29,2,IF(F385='Risk Methedology Matrix'!B$30,1,0)))))</f>
        <v>2</v>
      </c>
      <c r="I385" s="58">
        <f>IF(G385='Risk Methedology Matrix'!G$25,5,IF(G385='Risk Methedology Matrix'!F$25,4,IF(G385='Risk Methedology Matrix'!E$25,3,IF(G385='Risk Methedology Matrix'!D$25,2,IF(G385='Risk Methedology Matrix'!C$25,1,0)))))</f>
        <v>3</v>
      </c>
      <c r="J385" s="58" t="str">
        <f t="shared" si="52"/>
        <v>Medium</v>
      </c>
      <c r="K385" s="26" t="s">
        <v>1743</v>
      </c>
      <c r="L385" s="26" t="s">
        <v>169</v>
      </c>
      <c r="M385" s="58" t="str">
        <f t="shared" si="40"/>
        <v>Very Low</v>
      </c>
      <c r="N385" s="26"/>
      <c r="O385" s="26"/>
      <c r="P385" s="26"/>
      <c r="Q385" s="26"/>
      <c r="R385" s="26"/>
      <c r="S385" s="26"/>
    </row>
    <row r="386" spans="1:19">
      <c r="A386" s="300" t="s">
        <v>1674</v>
      </c>
      <c r="B386" s="300" t="s">
        <v>88</v>
      </c>
      <c r="C386" s="302" t="s">
        <v>1638</v>
      </c>
      <c r="D386" s="300" t="s">
        <v>1711</v>
      </c>
      <c r="E386" s="301" t="s">
        <v>1697</v>
      </c>
      <c r="F386" s="47" t="s">
        <v>165</v>
      </c>
      <c r="G386" s="47" t="s">
        <v>104</v>
      </c>
      <c r="H386" s="58">
        <f>IF(F386='Risk Methedology Matrix'!B$26,5,IF(F386='Risk Methedology Matrix'!B$27,4,IF(F386='Risk Methedology Matrix'!B$28,3,IF(F386='Risk Methedology Matrix'!B$29,2,IF(F386='Risk Methedology Matrix'!B$30,1,0)))))</f>
        <v>1</v>
      </c>
      <c r="I386" s="58">
        <f>IF(G386='Risk Methedology Matrix'!G$25,5,IF(G386='Risk Methedology Matrix'!F$25,4,IF(G386='Risk Methedology Matrix'!E$25,3,IF(G386='Risk Methedology Matrix'!D$25,2,IF(G386='Risk Methedology Matrix'!C$25,1,0)))))</f>
        <v>3</v>
      </c>
      <c r="J386" s="58" t="str">
        <f t="shared" si="52"/>
        <v>Low</v>
      </c>
      <c r="K386" s="26" t="s">
        <v>1744</v>
      </c>
      <c r="L386" s="26" t="s">
        <v>169</v>
      </c>
      <c r="M386" s="58" t="str">
        <f t="shared" si="40"/>
        <v>Very Low</v>
      </c>
      <c r="N386" s="26"/>
      <c r="O386" s="26"/>
      <c r="P386" s="26"/>
      <c r="Q386" s="26"/>
      <c r="R386" s="26"/>
      <c r="S386" s="26"/>
    </row>
    <row r="387" spans="1:19">
      <c r="A387" s="300" t="s">
        <v>1675</v>
      </c>
      <c r="B387" s="300" t="s">
        <v>88</v>
      </c>
      <c r="C387" s="302" t="s">
        <v>1639</v>
      </c>
      <c r="D387" s="300" t="s">
        <v>1711</v>
      </c>
      <c r="E387" s="301" t="s">
        <v>1698</v>
      </c>
      <c r="F387" s="47" t="s">
        <v>165</v>
      </c>
      <c r="G387" s="47" t="s">
        <v>104</v>
      </c>
      <c r="H387" s="58">
        <f>IF(F387='Risk Methedology Matrix'!B$26,5,IF(F387='Risk Methedology Matrix'!B$27,4,IF(F387='Risk Methedology Matrix'!B$28,3,IF(F387='Risk Methedology Matrix'!B$29,2,IF(F387='Risk Methedology Matrix'!B$30,1,0)))))</f>
        <v>1</v>
      </c>
      <c r="I387" s="58">
        <f>IF(G387='Risk Methedology Matrix'!G$25,5,IF(G387='Risk Methedology Matrix'!F$25,4,IF(G387='Risk Methedology Matrix'!E$25,3,IF(G387='Risk Methedology Matrix'!D$25,2,IF(G387='Risk Methedology Matrix'!C$25,1,0)))))</f>
        <v>3</v>
      </c>
      <c r="J387" s="58" t="str">
        <f t="shared" si="52"/>
        <v>Low</v>
      </c>
      <c r="K387" s="26" t="s">
        <v>1745</v>
      </c>
      <c r="L387" s="26" t="s">
        <v>169</v>
      </c>
      <c r="M387" s="58" t="str">
        <f t="shared" si="40"/>
        <v>Very Low</v>
      </c>
      <c r="N387" s="26"/>
      <c r="O387" s="26"/>
      <c r="P387" s="26"/>
      <c r="Q387" s="26"/>
      <c r="R387" s="26"/>
      <c r="S387" s="26"/>
    </row>
    <row r="388" spans="1:19" ht="36">
      <c r="A388" s="300" t="s">
        <v>1676</v>
      </c>
      <c r="B388" s="300" t="s">
        <v>88</v>
      </c>
      <c r="C388" s="302" t="s">
        <v>1640</v>
      </c>
      <c r="D388" s="300" t="s">
        <v>1711</v>
      </c>
      <c r="E388" s="301" t="s">
        <v>1699</v>
      </c>
      <c r="F388" s="47" t="s">
        <v>126</v>
      </c>
      <c r="G388" s="47" t="s">
        <v>84</v>
      </c>
      <c r="H388" s="58">
        <f>IF(F388='Risk Methedology Matrix'!B$26,5,IF(F388='Risk Methedology Matrix'!B$27,4,IF(F388='Risk Methedology Matrix'!B$28,3,IF(F388='Risk Methedology Matrix'!B$29,2,IF(F388='Risk Methedology Matrix'!B$30,1,0)))))</f>
        <v>2</v>
      </c>
      <c r="I388" s="58">
        <f>IF(G388='Risk Methedology Matrix'!G$25,5,IF(G388='Risk Methedology Matrix'!F$25,4,IF(G388='Risk Methedology Matrix'!E$25,3,IF(G388='Risk Methedology Matrix'!D$25,2,IF(G388='Risk Methedology Matrix'!C$25,1,0)))))</f>
        <v>4</v>
      </c>
      <c r="J388" s="58" t="str">
        <f t="shared" si="52"/>
        <v>Medium</v>
      </c>
      <c r="K388" s="26" t="s">
        <v>1746</v>
      </c>
      <c r="L388" s="26" t="s">
        <v>169</v>
      </c>
      <c r="M388" s="58" t="str">
        <f t="shared" si="40"/>
        <v>Very Low</v>
      </c>
      <c r="N388" s="26"/>
      <c r="O388" s="26"/>
      <c r="P388" s="26"/>
      <c r="Q388" s="26"/>
      <c r="R388" s="26"/>
      <c r="S388" s="26"/>
    </row>
    <row r="389" spans="1:19" ht="24">
      <c r="A389" s="300" t="s">
        <v>1713</v>
      </c>
      <c r="B389" s="300" t="s">
        <v>88</v>
      </c>
      <c r="C389" s="302" t="s">
        <v>1641</v>
      </c>
      <c r="D389" s="300" t="s">
        <v>1711</v>
      </c>
      <c r="E389" s="301" t="s">
        <v>1700</v>
      </c>
      <c r="F389" s="47" t="s">
        <v>165</v>
      </c>
      <c r="G389" s="47" t="s">
        <v>84</v>
      </c>
      <c r="H389" s="58">
        <f>IF(F389='Risk Methedology Matrix'!B$26,5,IF(F389='Risk Methedology Matrix'!B$27,4,IF(F389='Risk Methedology Matrix'!B$28,3,IF(F389='Risk Methedology Matrix'!B$29,2,IF(F389='Risk Methedology Matrix'!B$30,1,0)))))</f>
        <v>1</v>
      </c>
      <c r="I389" s="58">
        <f>IF(G389='Risk Methedology Matrix'!G$25,5,IF(G389='Risk Methedology Matrix'!F$25,4,IF(G389='Risk Methedology Matrix'!E$25,3,IF(G389='Risk Methedology Matrix'!D$25,2,IF(G389='Risk Methedology Matrix'!C$25,1,0)))))</f>
        <v>4</v>
      </c>
      <c r="J389" s="58" t="str">
        <f t="shared" si="52"/>
        <v>Low</v>
      </c>
      <c r="K389" s="26" t="s">
        <v>1747</v>
      </c>
      <c r="L389" s="26" t="s">
        <v>169</v>
      </c>
      <c r="M389" s="58" t="str">
        <f t="shared" si="40"/>
        <v>Very Low</v>
      </c>
      <c r="N389" s="26"/>
      <c r="O389" s="26"/>
      <c r="P389" s="26"/>
      <c r="Q389" s="26"/>
      <c r="R389" s="26"/>
      <c r="S389" s="26"/>
    </row>
    <row r="390" spans="1:19">
      <c r="A390" s="300" t="s">
        <v>1714</v>
      </c>
      <c r="B390" s="300" t="s">
        <v>88</v>
      </c>
      <c r="C390" s="302" t="s">
        <v>1642</v>
      </c>
      <c r="D390" s="300" t="s">
        <v>1711</v>
      </c>
      <c r="E390" s="301" t="s">
        <v>1701</v>
      </c>
      <c r="F390" s="47" t="s">
        <v>126</v>
      </c>
      <c r="G390" s="47" t="s">
        <v>104</v>
      </c>
      <c r="H390" s="58">
        <f>IF(F390='Risk Methedology Matrix'!B$26,5,IF(F390='Risk Methedology Matrix'!B$27,4,IF(F390='Risk Methedology Matrix'!B$28,3,IF(F390='Risk Methedology Matrix'!B$29,2,IF(F390='Risk Methedology Matrix'!B$30,1,0)))))</f>
        <v>2</v>
      </c>
      <c r="I390" s="58">
        <f>IF(G390='Risk Methedology Matrix'!G$25,5,IF(G390='Risk Methedology Matrix'!F$25,4,IF(G390='Risk Methedology Matrix'!E$25,3,IF(G390='Risk Methedology Matrix'!D$25,2,IF(G390='Risk Methedology Matrix'!C$25,1,0)))))</f>
        <v>3</v>
      </c>
      <c r="J390" s="58" t="str">
        <f t="shared" si="52"/>
        <v>Medium</v>
      </c>
      <c r="K390" s="26" t="s">
        <v>1748</v>
      </c>
      <c r="L390" s="26" t="s">
        <v>169</v>
      </c>
      <c r="M390" s="58" t="str">
        <f t="shared" si="40"/>
        <v>Very Low</v>
      </c>
      <c r="N390" s="26"/>
      <c r="O390" s="26"/>
      <c r="P390" s="26"/>
      <c r="Q390" s="26"/>
      <c r="R390" s="26"/>
      <c r="S390" s="26"/>
    </row>
    <row r="391" spans="1:19">
      <c r="A391" s="300" t="s">
        <v>1715</v>
      </c>
      <c r="B391" s="300" t="s">
        <v>88</v>
      </c>
      <c r="C391" s="302" t="s">
        <v>1643</v>
      </c>
      <c r="D391" s="300" t="s">
        <v>1711</v>
      </c>
      <c r="E391" s="301" t="s">
        <v>1702</v>
      </c>
      <c r="F391" s="47" t="s">
        <v>126</v>
      </c>
      <c r="G391" s="47" t="s">
        <v>104</v>
      </c>
      <c r="H391" s="58">
        <f>IF(F391='Risk Methedology Matrix'!B$26,5,IF(F391='Risk Methedology Matrix'!B$27,4,IF(F391='Risk Methedology Matrix'!B$28,3,IF(F391='Risk Methedology Matrix'!B$29,2,IF(F391='Risk Methedology Matrix'!B$30,1,0)))))</f>
        <v>2</v>
      </c>
      <c r="I391" s="58">
        <f>IF(G391='Risk Methedology Matrix'!G$25,5,IF(G391='Risk Methedology Matrix'!F$25,4,IF(G391='Risk Methedology Matrix'!E$25,3,IF(G391='Risk Methedology Matrix'!D$25,2,IF(G391='Risk Methedology Matrix'!C$25,1,0)))))</f>
        <v>3</v>
      </c>
      <c r="J391" s="58" t="str">
        <f t="shared" si="52"/>
        <v>Medium</v>
      </c>
      <c r="K391" s="26" t="s">
        <v>1749</v>
      </c>
      <c r="L391" s="26" t="s">
        <v>169</v>
      </c>
      <c r="M391" s="58" t="str">
        <f t="shared" si="40"/>
        <v>Very Low</v>
      </c>
      <c r="N391" s="26"/>
      <c r="O391" s="26"/>
      <c r="P391" s="26"/>
      <c r="Q391" s="26"/>
      <c r="R391" s="26"/>
      <c r="S391" s="26"/>
    </row>
    <row r="392" spans="1:19" ht="24">
      <c r="A392" s="300" t="s">
        <v>1716</v>
      </c>
      <c r="B392" s="300" t="s">
        <v>88</v>
      </c>
      <c r="C392" s="302" t="s">
        <v>1644</v>
      </c>
      <c r="D392" s="300" t="s">
        <v>1711</v>
      </c>
      <c r="E392" s="301" t="s">
        <v>1703</v>
      </c>
      <c r="F392" s="47" t="s">
        <v>165</v>
      </c>
      <c r="G392" s="47" t="s">
        <v>104</v>
      </c>
      <c r="H392" s="58">
        <f>IF(F392='Risk Methedology Matrix'!B$26,5,IF(F392='Risk Methedology Matrix'!B$27,4,IF(F392='Risk Methedology Matrix'!B$28,3,IF(F392='Risk Methedology Matrix'!B$29,2,IF(F392='Risk Methedology Matrix'!B$30,1,0)))))</f>
        <v>1</v>
      </c>
      <c r="I392" s="58">
        <f>IF(G392='Risk Methedology Matrix'!G$25,5,IF(G392='Risk Methedology Matrix'!F$25,4,IF(G392='Risk Methedology Matrix'!E$25,3,IF(G392='Risk Methedology Matrix'!D$25,2,IF(G392='Risk Methedology Matrix'!C$25,1,0)))))</f>
        <v>3</v>
      </c>
      <c r="J392" s="58" t="str">
        <f t="shared" si="52"/>
        <v>Low</v>
      </c>
      <c r="K392" s="26" t="s">
        <v>1750</v>
      </c>
      <c r="L392" s="26" t="s">
        <v>169</v>
      </c>
      <c r="M392" s="58" t="str">
        <f t="shared" si="40"/>
        <v>Very Low</v>
      </c>
      <c r="N392" s="26"/>
      <c r="O392" s="26"/>
      <c r="P392" s="26"/>
      <c r="Q392" s="26"/>
      <c r="R392" s="26"/>
      <c r="S392" s="26"/>
    </row>
    <row r="393" spans="1:19" ht="24">
      <c r="A393" s="300" t="s">
        <v>1717</v>
      </c>
      <c r="B393" s="300" t="s">
        <v>88</v>
      </c>
      <c r="C393" s="302" t="s">
        <v>1645</v>
      </c>
      <c r="D393" s="300" t="s">
        <v>1711</v>
      </c>
      <c r="E393" s="301" t="s">
        <v>1704</v>
      </c>
      <c r="F393" s="47" t="s">
        <v>165</v>
      </c>
      <c r="G393" s="47" t="s">
        <v>104</v>
      </c>
      <c r="H393" s="58">
        <f>IF(F393='Risk Methedology Matrix'!B$26,5,IF(F393='Risk Methedology Matrix'!B$27,4,IF(F393='Risk Methedology Matrix'!B$28,3,IF(F393='Risk Methedology Matrix'!B$29,2,IF(F393='Risk Methedology Matrix'!B$30,1,0)))))</f>
        <v>1</v>
      </c>
      <c r="I393" s="58">
        <f>IF(G393='Risk Methedology Matrix'!G$25,5,IF(G393='Risk Methedology Matrix'!F$25,4,IF(G393='Risk Methedology Matrix'!E$25,3,IF(G393='Risk Methedology Matrix'!D$25,2,IF(G393='Risk Methedology Matrix'!C$25,1,0)))))</f>
        <v>3</v>
      </c>
      <c r="J393" s="58" t="str">
        <f t="shared" si="52"/>
        <v>Low</v>
      </c>
      <c r="K393" s="26" t="s">
        <v>1751</v>
      </c>
      <c r="L393" s="26" t="s">
        <v>169</v>
      </c>
      <c r="M393" s="58" t="str">
        <f t="shared" si="40"/>
        <v>Very Low</v>
      </c>
      <c r="N393" s="26"/>
      <c r="O393" s="26"/>
      <c r="P393" s="26"/>
      <c r="Q393" s="26"/>
      <c r="R393" s="26"/>
      <c r="S393" s="26"/>
    </row>
    <row r="394" spans="1:19" ht="24">
      <c r="A394" s="300" t="s">
        <v>1718</v>
      </c>
      <c r="B394" s="300" t="s">
        <v>88</v>
      </c>
      <c r="C394" s="302" t="s">
        <v>1646</v>
      </c>
      <c r="D394" s="300" t="s">
        <v>1711</v>
      </c>
      <c r="E394" s="301" t="s">
        <v>1705</v>
      </c>
      <c r="F394" s="47" t="s">
        <v>165</v>
      </c>
      <c r="G394" s="47" t="s">
        <v>104</v>
      </c>
      <c r="H394" s="58">
        <f>IF(F394='Risk Methedology Matrix'!B$26,5,IF(F394='Risk Methedology Matrix'!B$27,4,IF(F394='Risk Methedology Matrix'!B$28,3,IF(F394='Risk Methedology Matrix'!B$29,2,IF(F394='Risk Methedology Matrix'!B$30,1,0)))))</f>
        <v>1</v>
      </c>
      <c r="I394" s="58">
        <f>IF(G394='Risk Methedology Matrix'!G$25,5,IF(G394='Risk Methedology Matrix'!F$25,4,IF(G394='Risk Methedology Matrix'!E$25,3,IF(G394='Risk Methedology Matrix'!D$25,2,IF(G394='Risk Methedology Matrix'!C$25,1,0)))))</f>
        <v>3</v>
      </c>
      <c r="J394" s="58" t="str">
        <f t="shared" si="52"/>
        <v>Low</v>
      </c>
      <c r="K394" s="26" t="s">
        <v>1752</v>
      </c>
      <c r="L394" s="26" t="s">
        <v>169</v>
      </c>
      <c r="M394" s="58" t="str">
        <f t="shared" si="40"/>
        <v>Very Low</v>
      </c>
      <c r="N394" s="26"/>
      <c r="O394" s="26"/>
      <c r="P394" s="26"/>
      <c r="Q394" s="26"/>
      <c r="R394" s="26"/>
      <c r="S394" s="26"/>
    </row>
    <row r="395" spans="1:19" ht="24">
      <c r="A395" s="300" t="s">
        <v>1719</v>
      </c>
      <c r="B395" s="300" t="s">
        <v>88</v>
      </c>
      <c r="C395" s="302" t="s">
        <v>1647</v>
      </c>
      <c r="D395" s="300" t="s">
        <v>1711</v>
      </c>
      <c r="E395" s="301" t="s">
        <v>1706</v>
      </c>
      <c r="F395" s="47" t="s">
        <v>165</v>
      </c>
      <c r="G395" s="47" t="s">
        <v>104</v>
      </c>
      <c r="H395" s="58">
        <f>IF(F395='Risk Methedology Matrix'!B$26,5,IF(F395='Risk Methedology Matrix'!B$27,4,IF(F395='Risk Methedology Matrix'!B$28,3,IF(F395='Risk Methedology Matrix'!B$29,2,IF(F395='Risk Methedology Matrix'!B$30,1,0)))))</f>
        <v>1</v>
      </c>
      <c r="I395" s="58">
        <f>IF(G395='Risk Methedology Matrix'!G$25,5,IF(G395='Risk Methedology Matrix'!F$25,4,IF(G395='Risk Methedology Matrix'!E$25,3,IF(G395='Risk Methedology Matrix'!D$25,2,IF(G395='Risk Methedology Matrix'!C$25,1,0)))))</f>
        <v>3</v>
      </c>
      <c r="J395" s="58" t="str">
        <f t="shared" si="52"/>
        <v>Low</v>
      </c>
      <c r="K395" s="26" t="s">
        <v>1753</v>
      </c>
      <c r="L395" s="26" t="s">
        <v>169</v>
      </c>
      <c r="M395" s="58" t="str">
        <f t="shared" si="40"/>
        <v>Very Low</v>
      </c>
      <c r="N395" s="26"/>
      <c r="O395" s="26"/>
      <c r="P395" s="26"/>
      <c r="Q395" s="26"/>
      <c r="R395" s="26"/>
      <c r="S395" s="26"/>
    </row>
    <row r="396" spans="1:19">
      <c r="A396" s="300" t="s">
        <v>1720</v>
      </c>
      <c r="B396" s="300" t="s">
        <v>88</v>
      </c>
      <c r="C396" s="302" t="s">
        <v>1648</v>
      </c>
      <c r="D396" s="300" t="s">
        <v>1711</v>
      </c>
      <c r="E396" s="301" t="s">
        <v>1707</v>
      </c>
      <c r="F396" s="47" t="s">
        <v>165</v>
      </c>
      <c r="G396" s="47" t="s">
        <v>161</v>
      </c>
      <c r="H396" s="58">
        <f>IF(F396='Risk Methedology Matrix'!B$26,5,IF(F396='Risk Methedology Matrix'!B$27,4,IF(F396='Risk Methedology Matrix'!B$28,3,IF(F396='Risk Methedology Matrix'!B$29,2,IF(F396='Risk Methedology Matrix'!B$30,1,0)))))</f>
        <v>1</v>
      </c>
      <c r="I396" s="58">
        <f>IF(G396='Risk Methedology Matrix'!G$25,5,IF(G396='Risk Methedology Matrix'!F$25,4,IF(G396='Risk Methedology Matrix'!E$25,3,IF(G396='Risk Methedology Matrix'!D$25,2,IF(G396='Risk Methedology Matrix'!C$25,1,0)))))</f>
        <v>2</v>
      </c>
      <c r="J396" s="58" t="str">
        <f t="shared" si="52"/>
        <v>Very Low</v>
      </c>
      <c r="K396" s="26" t="s">
        <v>1754</v>
      </c>
      <c r="L396" s="26" t="s">
        <v>169</v>
      </c>
      <c r="M396" s="58" t="str">
        <f t="shared" si="40"/>
        <v>Very Low</v>
      </c>
      <c r="N396" s="26"/>
      <c r="O396" s="26"/>
      <c r="P396" s="26"/>
      <c r="Q396" s="26"/>
      <c r="R396" s="26"/>
      <c r="S396" s="26"/>
    </row>
    <row r="397" spans="1:19">
      <c r="A397" s="300" t="s">
        <v>1721</v>
      </c>
      <c r="B397" s="300" t="s">
        <v>88</v>
      </c>
      <c r="C397" s="302" t="s">
        <v>1649</v>
      </c>
      <c r="D397" s="300" t="s">
        <v>1711</v>
      </c>
      <c r="E397" s="301" t="s">
        <v>1708</v>
      </c>
      <c r="F397" s="47" t="s">
        <v>126</v>
      </c>
      <c r="G397" s="47" t="s">
        <v>104</v>
      </c>
      <c r="H397" s="58">
        <f>IF(F397='Risk Methedology Matrix'!B$26,5,IF(F397='Risk Methedology Matrix'!B$27,4,IF(F397='Risk Methedology Matrix'!B$28,3,IF(F397='Risk Methedology Matrix'!B$29,2,IF(F397='Risk Methedology Matrix'!B$30,1,0)))))</f>
        <v>2</v>
      </c>
      <c r="I397" s="58">
        <f>IF(G397='Risk Methedology Matrix'!G$25,5,IF(G397='Risk Methedology Matrix'!F$25,4,IF(G397='Risk Methedology Matrix'!E$25,3,IF(G397='Risk Methedology Matrix'!D$25,2,IF(G397='Risk Methedology Matrix'!C$25,1,0)))))</f>
        <v>3</v>
      </c>
      <c r="J397" s="58" t="str">
        <f t="shared" si="52"/>
        <v>Medium</v>
      </c>
      <c r="K397" s="26" t="s">
        <v>1755</v>
      </c>
      <c r="L397" s="26" t="s">
        <v>169</v>
      </c>
      <c r="M397" s="58" t="str">
        <f t="shared" si="40"/>
        <v>Very Low</v>
      </c>
      <c r="N397" s="26"/>
      <c r="O397" s="26"/>
      <c r="P397" s="26"/>
      <c r="Q397" s="26"/>
      <c r="R397" s="26"/>
      <c r="S397" s="26"/>
    </row>
    <row r="398" spans="1:19">
      <c r="A398" s="300" t="s">
        <v>1722</v>
      </c>
      <c r="B398" s="300" t="s">
        <v>88</v>
      </c>
      <c r="C398" s="302" t="s">
        <v>1650</v>
      </c>
      <c r="D398" s="300" t="s">
        <v>1711</v>
      </c>
      <c r="E398" s="301" t="s">
        <v>1709</v>
      </c>
      <c r="F398" s="47" t="s">
        <v>126</v>
      </c>
      <c r="G398" s="47" t="s">
        <v>104</v>
      </c>
      <c r="H398" s="58">
        <f>IF(F398='Risk Methedology Matrix'!B$26,5,IF(F398='Risk Methedology Matrix'!B$27,4,IF(F398='Risk Methedology Matrix'!B$28,3,IF(F398='Risk Methedology Matrix'!B$29,2,IF(F398='Risk Methedology Matrix'!B$30,1,0)))))</f>
        <v>2</v>
      </c>
      <c r="I398" s="58">
        <f>IF(G398='Risk Methedology Matrix'!G$25,5,IF(G398='Risk Methedology Matrix'!F$25,4,IF(G398='Risk Methedology Matrix'!E$25,3,IF(G398='Risk Methedology Matrix'!D$25,2,IF(G398='Risk Methedology Matrix'!C$25,1,0)))))</f>
        <v>3</v>
      </c>
      <c r="J398" s="58" t="str">
        <f t="shared" si="52"/>
        <v>Medium</v>
      </c>
      <c r="K398" s="26" t="s">
        <v>1756</v>
      </c>
      <c r="L398" s="26" t="s">
        <v>169</v>
      </c>
      <c r="M398" s="58" t="str">
        <f t="shared" si="40"/>
        <v>Very Low</v>
      </c>
      <c r="N398" s="26"/>
      <c r="O398" s="26"/>
      <c r="P398" s="26"/>
      <c r="Q398" s="26"/>
      <c r="R398" s="26"/>
      <c r="S398" s="26"/>
    </row>
    <row r="399" spans="1:19">
      <c r="A399" s="300" t="s">
        <v>1723</v>
      </c>
      <c r="B399" s="300" t="s">
        <v>88</v>
      </c>
      <c r="C399" s="302" t="s">
        <v>1651</v>
      </c>
      <c r="D399" s="300" t="s">
        <v>1711</v>
      </c>
      <c r="E399" s="300" t="s">
        <v>1710</v>
      </c>
      <c r="F399" s="47" t="s">
        <v>126</v>
      </c>
      <c r="G399" s="47" t="s">
        <v>104</v>
      </c>
      <c r="H399" s="58">
        <f>IF(F399='Risk Methedology Matrix'!B$26,5,IF(F399='Risk Methedology Matrix'!B$27,4,IF(F399='Risk Methedology Matrix'!B$28,3,IF(F399='Risk Methedology Matrix'!B$29,2,IF(F399='Risk Methedology Matrix'!B$30,1,0)))))</f>
        <v>2</v>
      </c>
      <c r="I399" s="58">
        <f>IF(G399='Risk Methedology Matrix'!G$25,5,IF(G399='Risk Methedology Matrix'!F$25,4,IF(G399='Risk Methedology Matrix'!E$25,3,IF(G399='Risk Methedology Matrix'!D$25,2,IF(G399='Risk Methedology Matrix'!C$25,1,0)))))</f>
        <v>3</v>
      </c>
      <c r="J399" s="58" t="str">
        <f t="shared" ref="J399" si="53">IF(OR(F399="",G399=""),"",IF(H399*I399&gt;=20,"Very High",IF(AND(H399*I399&lt;20,H399*I399&gt;=11),"High",IF(AND(H399*I399&lt;11,H399*I399&gt;=6),"Medium",IF(AND(H399*I399&lt;6,H399*I399&gt;=3),"Low",IF(AND(H399*I399&lt;3,H399*I399&gt;=1),"Very Low",""))))))</f>
        <v>Medium</v>
      </c>
      <c r="K399" s="26" t="s">
        <v>1757</v>
      </c>
      <c r="L399" s="26" t="s">
        <v>169</v>
      </c>
      <c r="M399" s="58" t="str">
        <f t="shared" si="40"/>
        <v>Very Low</v>
      </c>
      <c r="N399" s="26"/>
      <c r="O399" s="26"/>
      <c r="P399" s="26"/>
      <c r="Q399" s="26"/>
      <c r="R399" s="26"/>
      <c r="S399" s="26"/>
    </row>
  </sheetData>
  <sheetProtection selectLockedCells="1"/>
  <mergeCells count="29">
    <mergeCell ref="V5:V7"/>
    <mergeCell ref="U5:U7"/>
    <mergeCell ref="Q5:Q6"/>
    <mergeCell ref="R5:R6"/>
    <mergeCell ref="S5:S6"/>
    <mergeCell ref="N5:N6"/>
    <mergeCell ref="A4:C4"/>
    <mergeCell ref="D4:S4"/>
    <mergeCell ref="J5:J6"/>
    <mergeCell ref="K5:K6"/>
    <mergeCell ref="L5:L6"/>
    <mergeCell ref="M5:M6"/>
    <mergeCell ref="O5:O6"/>
    <mergeCell ref="P5:P6"/>
    <mergeCell ref="H7:I7"/>
    <mergeCell ref="A5:A6"/>
    <mergeCell ref="B5:B6"/>
    <mergeCell ref="C5:C6"/>
    <mergeCell ref="D5:D6"/>
    <mergeCell ref="E5:E6"/>
    <mergeCell ref="F5:F6"/>
    <mergeCell ref="G5:G6"/>
    <mergeCell ref="H5:I6"/>
    <mergeCell ref="A1:C1"/>
    <mergeCell ref="D1:S1"/>
    <mergeCell ref="A2:C2"/>
    <mergeCell ref="D2:S2"/>
    <mergeCell ref="A3:C3"/>
    <mergeCell ref="D3:S3"/>
  </mergeCells>
  <phoneticPr fontId="63" type="noConversion"/>
  <conditionalFormatting sqref="H326 M9:M399 S9:S162">
    <cfRule type="cellIs" dxfId="101" priority="97" operator="equal">
      <formula>"High"</formula>
    </cfRule>
    <cfRule type="cellIs" dxfId="100" priority="98" operator="equal">
      <formula>"Medium"</formula>
    </cfRule>
    <cfRule type="cellIs" dxfId="99" priority="100" operator="equal">
      <formula>"Low"</formula>
    </cfRule>
  </conditionalFormatting>
  <conditionalFormatting sqref="J8:J282">
    <cfRule type="cellIs" dxfId="98" priority="46" operator="equal">
      <formula>"Very High"</formula>
    </cfRule>
    <cfRule type="cellIs" dxfId="97" priority="47" operator="equal">
      <formula>"High"</formula>
    </cfRule>
    <cfRule type="cellIs" dxfId="96" priority="48" operator="equal">
      <formula>"Medium"</formula>
    </cfRule>
    <cfRule type="cellIs" dxfId="95" priority="49" operator="equal">
      <formula>"Very Low"</formula>
    </cfRule>
    <cfRule type="cellIs" dxfId="94" priority="50" operator="equal">
      <formula>"Low"</formula>
    </cfRule>
  </conditionalFormatting>
  <conditionalFormatting sqref="J298:J399">
    <cfRule type="cellIs" dxfId="93" priority="31" operator="equal">
      <formula>"Very High"</formula>
    </cfRule>
    <cfRule type="cellIs" dxfId="92" priority="32" operator="equal">
      <formula>"High"</formula>
    </cfRule>
    <cfRule type="cellIs" dxfId="91" priority="33" operator="equal">
      <formula>"Medium"</formula>
    </cfRule>
    <cfRule type="cellIs" dxfId="90" priority="34" operator="equal">
      <formula>"Very Low"</formula>
    </cfRule>
    <cfRule type="cellIs" dxfId="89" priority="35" operator="equal">
      <formula>"Low"</formula>
    </cfRule>
  </conditionalFormatting>
  <conditionalFormatting sqref="H326 M9:M399 S9:S162">
    <cfRule type="cellIs" dxfId="88" priority="96" operator="equal">
      <formula>"Very High"</formula>
    </cfRule>
    <cfRule type="cellIs" dxfId="87" priority="99" operator="equal">
      <formula>"Very Low"</formula>
    </cfRule>
  </conditionalFormatting>
  <conditionalFormatting sqref="M33:M78">
    <cfRule type="cellIs" dxfId="86" priority="26" operator="equal">
      <formula>"Very High"</formula>
    </cfRule>
    <cfRule type="cellIs" dxfId="85" priority="29" operator="equal">
      <formula>"Very Low"</formula>
    </cfRule>
  </conditionalFormatting>
  <conditionalFormatting sqref="M8:N17 S239:S297 M19:N32">
    <cfRule type="cellIs" dxfId="84" priority="417" operator="equal">
      <formula>"High"</formula>
    </cfRule>
    <cfRule type="cellIs" dxfId="83" priority="418" operator="equal">
      <formula>"Medium"</formula>
    </cfRule>
    <cfRule type="cellIs" dxfId="82" priority="420" operator="equal">
      <formula>"Low"</formula>
    </cfRule>
  </conditionalFormatting>
  <conditionalFormatting sqref="N239:N240 M239:M342 S8:S297">
    <cfRule type="cellIs" dxfId="81" priority="256" operator="equal">
      <formula>"Very High"</formula>
    </cfRule>
    <cfRule type="cellIs" dxfId="80" priority="257" operator="equal">
      <formula>"High"</formula>
    </cfRule>
    <cfRule type="cellIs" dxfId="79" priority="258" operator="equal">
      <formula>"Medium"</formula>
    </cfRule>
    <cfRule type="cellIs" dxfId="78" priority="259" operator="equal">
      <formula>"Very Low"</formula>
    </cfRule>
    <cfRule type="cellIs" dxfId="77" priority="260" operator="equal">
      <formula>"Low"</formula>
    </cfRule>
  </conditionalFormatting>
  <conditionalFormatting sqref="N242:N284">
    <cfRule type="cellIs" dxfId="76" priority="66" operator="equal">
      <formula>"Very High"</formula>
    </cfRule>
    <cfRule type="cellIs" dxfId="75" priority="67" operator="equal">
      <formula>"High"</formula>
    </cfRule>
    <cfRule type="cellIs" dxfId="74" priority="68" operator="equal">
      <formula>"Medium"</formula>
    </cfRule>
    <cfRule type="cellIs" dxfId="73" priority="69" operator="equal">
      <formula>"Very Low"</formula>
    </cfRule>
    <cfRule type="cellIs" dxfId="72" priority="70" operator="equal">
      <formula>"Low"</formula>
    </cfRule>
  </conditionalFormatting>
  <conditionalFormatting sqref="N326:N345 P326:P345">
    <cfRule type="cellIs" dxfId="71" priority="141" operator="equal">
      <formula>"Very High"</formula>
    </cfRule>
    <cfRule type="cellIs" dxfId="70" priority="142" operator="equal">
      <formula>"High"</formula>
    </cfRule>
    <cfRule type="cellIs" dxfId="69" priority="143" operator="equal">
      <formula>"Medium"</formula>
    </cfRule>
    <cfRule type="cellIs" dxfId="68" priority="144" operator="equal">
      <formula>"Very Low"</formula>
    </cfRule>
    <cfRule type="cellIs" dxfId="67" priority="145" operator="equal">
      <formula>"Low"</formula>
    </cfRule>
  </conditionalFormatting>
  <conditionalFormatting sqref="O273">
    <cfRule type="cellIs" dxfId="66" priority="251" operator="equal">
      <formula>"Very High"</formula>
    </cfRule>
    <cfRule type="cellIs" dxfId="65" priority="252" operator="equal">
      <formula>"High"</formula>
    </cfRule>
    <cfRule type="cellIs" dxfId="64" priority="253" operator="equal">
      <formula>"Medium"</formula>
    </cfRule>
    <cfRule type="cellIs" dxfId="63" priority="254" operator="equal">
      <formula>"Very Low"</formula>
    </cfRule>
    <cfRule type="cellIs" dxfId="62" priority="255" operator="equal">
      <formula>"Low"</formula>
    </cfRule>
  </conditionalFormatting>
  <conditionalFormatting sqref="Q109:Q162">
    <cfRule type="cellIs" dxfId="61" priority="376" operator="equal">
      <formula>"Very High"</formula>
    </cfRule>
    <cfRule type="cellIs" dxfId="60" priority="377" operator="equal">
      <formula>"High"</formula>
    </cfRule>
    <cfRule type="cellIs" dxfId="59" priority="378" operator="equal">
      <formula>"Medium"</formula>
    </cfRule>
    <cfRule type="cellIs" dxfId="58" priority="379" operator="equal">
      <formula>"Very Low"</formula>
    </cfRule>
    <cfRule type="cellIs" dxfId="57" priority="380" operator="equal">
      <formula>"Low"</formula>
    </cfRule>
  </conditionalFormatting>
  <conditionalFormatting sqref="R33:R86 N33:N162">
    <cfRule type="cellIs" dxfId="56" priority="386" operator="equal">
      <formula>"Very High"</formula>
    </cfRule>
    <cfRule type="cellIs" dxfId="55" priority="387" operator="equal">
      <formula>"High"</formula>
    </cfRule>
    <cfRule type="cellIs" dxfId="54" priority="388" operator="equal">
      <formula>"Medium"</formula>
    </cfRule>
    <cfRule type="cellIs" dxfId="53" priority="389" operator="equal">
      <formula>"Very Low"</formula>
    </cfRule>
    <cfRule type="cellIs" dxfId="52" priority="390" operator="equal">
      <formula>"Low"</formula>
    </cfRule>
  </conditionalFormatting>
  <conditionalFormatting sqref="J283:J291 J295:J296">
    <cfRule type="cellIs" dxfId="51" priority="71" operator="equal">
      <formula>"Very High"</formula>
    </cfRule>
    <cfRule type="cellIs" dxfId="50" priority="72" operator="equal">
      <formula>"High"</formula>
    </cfRule>
    <cfRule type="cellIs" dxfId="49" priority="73" operator="equal">
      <formula>"Medium"</formula>
    </cfRule>
    <cfRule type="cellIs" dxfId="48" priority="74" operator="equal">
      <formula>"Very Low"</formula>
    </cfRule>
    <cfRule type="cellIs" dxfId="47" priority="75" operator="equal">
      <formula>"Low"</formula>
    </cfRule>
  </conditionalFormatting>
  <conditionalFormatting sqref="S239:S297 M8:N17 M19:N32">
    <cfRule type="cellIs" dxfId="46" priority="416" operator="equal">
      <formula>"Very High"</formula>
    </cfRule>
    <cfRule type="cellIs" dxfId="45" priority="419" operator="equal">
      <formula>"Very Low"</formula>
    </cfRule>
  </conditionalFormatting>
  <conditionalFormatting sqref="V45:V48">
    <cfRule type="cellIs" dxfId="44" priority="331" operator="equal">
      <formula>"Very High"</formula>
    </cfRule>
    <cfRule type="cellIs" dxfId="43" priority="332" operator="equal">
      <formula>"High"</formula>
    </cfRule>
    <cfRule type="cellIs" dxfId="42" priority="333" operator="equal">
      <formula>"Medium"</formula>
    </cfRule>
    <cfRule type="cellIs" dxfId="41" priority="334" operator="equal">
      <formula>"Very Low"</formula>
    </cfRule>
    <cfRule type="cellIs" dxfId="40" priority="335" operator="equal">
      <formula>"Low"</formula>
    </cfRule>
  </conditionalFormatting>
  <conditionalFormatting sqref="V51">
    <cfRule type="cellIs" dxfId="39" priority="326" operator="equal">
      <formula>"Very High"</formula>
    </cfRule>
    <cfRule type="cellIs" dxfId="38" priority="327" operator="equal">
      <formula>"High"</formula>
    </cfRule>
    <cfRule type="cellIs" dxfId="37" priority="328" operator="equal">
      <formula>"Medium"</formula>
    </cfRule>
    <cfRule type="cellIs" dxfId="36" priority="329" operator="equal">
      <formula>"Very Low"</formula>
    </cfRule>
    <cfRule type="cellIs" dxfId="35" priority="330" operator="equal">
      <formula>"Low"</formula>
    </cfRule>
  </conditionalFormatting>
  <conditionalFormatting sqref="J292">
    <cfRule type="cellIs" dxfId="34" priority="16" operator="equal">
      <formula>"Very High"</formula>
    </cfRule>
    <cfRule type="cellIs" dxfId="33" priority="17" operator="equal">
      <formula>"High"</formula>
    </cfRule>
    <cfRule type="cellIs" dxfId="32" priority="18" operator="equal">
      <formula>"Medium"</formula>
    </cfRule>
    <cfRule type="cellIs" dxfId="31" priority="19" operator="equal">
      <formula>"Very Low"</formula>
    </cfRule>
    <cfRule type="cellIs" dxfId="30" priority="20" operator="equal">
      <formula>"Low"</formula>
    </cfRule>
  </conditionalFormatting>
  <conditionalFormatting sqref="J293">
    <cfRule type="cellIs" dxfId="29" priority="11" operator="equal">
      <formula>"Very High"</formula>
    </cfRule>
    <cfRule type="cellIs" dxfId="28" priority="12" operator="equal">
      <formula>"High"</formula>
    </cfRule>
    <cfRule type="cellIs" dxfId="27" priority="13" operator="equal">
      <formula>"Medium"</formula>
    </cfRule>
    <cfRule type="cellIs" dxfId="26" priority="14" operator="equal">
      <formula>"Very Low"</formula>
    </cfRule>
    <cfRule type="cellIs" dxfId="25" priority="15" operator="equal">
      <formula>"Low"</formula>
    </cfRule>
  </conditionalFormatting>
  <conditionalFormatting sqref="J294">
    <cfRule type="cellIs" dxfId="24" priority="6" operator="equal">
      <formula>"Very High"</formula>
    </cfRule>
    <cfRule type="cellIs" dxfId="23" priority="7" operator="equal">
      <formula>"High"</formula>
    </cfRule>
    <cfRule type="cellIs" dxfId="22" priority="8" operator="equal">
      <formula>"Medium"</formula>
    </cfRule>
    <cfRule type="cellIs" dxfId="21" priority="9" operator="equal">
      <formula>"Very Low"</formula>
    </cfRule>
    <cfRule type="cellIs" dxfId="20" priority="10" operator="equal">
      <formula>"Low"</formula>
    </cfRule>
  </conditionalFormatting>
  <conditionalFormatting sqref="J297">
    <cfRule type="cellIs" dxfId="19" priority="1" operator="equal">
      <formula>"Very High"</formula>
    </cfRule>
    <cfRule type="cellIs" dxfId="18" priority="2" operator="equal">
      <formula>"High"</formula>
    </cfRule>
    <cfRule type="cellIs" dxfId="17" priority="3" operator="equal">
      <formula>"Medium"</formula>
    </cfRule>
    <cfRule type="cellIs" dxfId="16" priority="4" operator="equal">
      <formula>"Very Low"</formula>
    </cfRule>
    <cfRule type="cellIs" dxfId="15" priority="5" operator="equal">
      <formula>"Low"</formula>
    </cfRule>
  </conditionalFormatting>
  <dataValidations count="1">
    <dataValidation type="list" allowBlank="1" showErrorMessage="1" errorTitle="The value you entered is not valid." error="The value entered violates data validation rules set in cell" sqref="P326:P345">
      <formula1>"Risk Mitigation, Risk Avoidance, Risk Acceptance, Risk Transfer"</formula1>
    </dataValidation>
  </dataValidations>
  <pageMargins left="0.7" right="0.7" top="0.75" bottom="0.75" header="0.3" footer="0.3"/>
  <pageSetup orientation="portrait" r:id="rId1"/>
  <headerFooter>
    <oddHeader>&amp;C&amp;K00FF00&amp;10&amp;"Calibri" Classification: &amp;K00FF00&amp;10&amp;"Calibri"&amp;BRestricted مقيَد&amp;B</oddHeader>
  </headerFooter>
  <drawing r:id="rId2"/>
  <extLst>
    <ext xmlns:x14="http://schemas.microsoft.com/office/spreadsheetml/2009/9/main" uri="{CCE6A557-97BC-4b89-ADB6-D9C93CAAB3DF}">
      <x14:dataValidations xmlns:xm="http://schemas.microsoft.com/office/excel/2006/main" count="6">
        <x14:dataValidation type="list" allowBlank="1" showInputMessage="1" showErrorMessage="1">
          <x14:formula1>
            <xm:f>'C:\Users\ABC\Desktop\RCSA\Completed\[Foodics - Pay Operations- Risk Register-.xlsx]Risk Methedology Matrix'!#REF!</xm:f>
          </x14:formula1>
          <xm:sqref>Q33:Q86</xm:sqref>
        </x14:dataValidation>
        <x14:dataValidation type="list" allowBlank="1" showInputMessage="1" showErrorMessage="1">
          <x14:formula1>
            <xm:f>'Risk Methedology Matrix'!$A$7:$A$11</xm:f>
          </x14:formula1>
          <xm:sqref>F298:F325 F342:F399 F8:F238</xm:sqref>
        </x14:dataValidation>
        <x14:dataValidation type="list" allowBlank="1" showInputMessage="1" showErrorMessage="1">
          <x14:formula1>
            <xm:f>'Risk Methedology Matrix'!$B$6:$F$6</xm:f>
          </x14:formula1>
          <xm:sqref>G298:G325 G342:G399 G8:G238</xm:sqref>
        </x14:dataValidation>
        <x14:dataValidation type="list" allowBlank="1" showErrorMessage="1" errorTitle="The value you entered is not valid." error="The value entered violates data validation rules set in cell">
          <x14:formula1>
            <xm:f>'C:\Users\ABC\Desktop\RCSA\Completed\[Foodics pay - Cyber Security,IT, DATA - Risk Register - V3.0.xlsx]Risk Methedology Matrix'!#REF!</xm:f>
          </x14:formula1>
          <xm:sqref>F326:G326 F239:G282</xm:sqref>
        </x14:dataValidation>
        <x14:dataValidation type="list" allowBlank="1" showErrorMessage="1" errorTitle="The value you entered is not valid." error="The value entered violates data validation rules set in cell">
          <x14:formula1>
            <xm:f>'C:\Users\ABC\Desktop\Sarib\RCSA\2024\RCSA\Procurement\Finalized\[Procurement- V1.0 25.03.2026.xlsx]Risk Methedology Matrix'!#REF!</xm:f>
          </x14:formula1>
          <xm:sqref>F327:G341 L326:L328 L330:L336 L338:L341</xm:sqref>
        </x14:dataValidation>
        <x14:dataValidation type="list" allowBlank="1" showInputMessage="1" showErrorMessage="1">
          <x14:formula1>
            <xm:f>'Risk Methedology Matrix'!$B$15:$F$15</xm:f>
          </x14:formula1>
          <xm:sqref>L342:L363 L8:L325 R8:R297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K18" sqref="K18"/>
    </sheetView>
  </sheetViews>
  <sheetFormatPr defaultRowHeight="14.5"/>
  <sheetData>
    <row r="1" spans="1:1">
      <c r="A1" t="s">
        <v>1168</v>
      </c>
    </row>
    <row r="2" spans="1:1">
      <c r="A2" t="s">
        <v>1169</v>
      </c>
    </row>
  </sheetData>
  <pageMargins left="0.7" right="0.7" top="0.75" bottom="0.75" header="0.3" footer="0.3"/>
  <pageSetup orientation="portrait" r:id="rId1"/>
  <headerFooter>
    <oddHeader>&amp;C&amp;K00FF00&amp;10&amp;"Calibri" Classification: &amp;K00FF00&amp;10&amp;"Calibri"&amp;BRestricted مقيَد&amp;B</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O32"/>
  <sheetViews>
    <sheetView showGridLines="0" topLeftCell="A2" workbookViewId="0">
      <selection activeCell="K16" sqref="K16"/>
    </sheetView>
  </sheetViews>
  <sheetFormatPr defaultColWidth="9.1796875" defaultRowHeight="12"/>
  <cols>
    <col min="1" max="1" width="15" style="14" customWidth="1"/>
    <col min="2" max="2" width="14.26953125" style="14" customWidth="1"/>
    <col min="3" max="3" width="9.81640625" style="14" customWidth="1"/>
    <col min="4" max="5" width="9.54296875" style="14" customWidth="1"/>
    <col min="6" max="6" width="14.1796875" style="14" customWidth="1"/>
    <col min="7" max="7" width="7.453125" style="14" customWidth="1"/>
    <col min="8" max="10" width="9.1796875" style="14"/>
    <col min="11" max="11" width="15.08984375" style="14" customWidth="1"/>
    <col min="12" max="16384" width="9.1796875" style="14"/>
  </cols>
  <sheetData>
    <row r="1" spans="1:15" ht="68.150000000000006" customHeight="1">
      <c r="A1" s="15"/>
      <c r="B1" s="436"/>
      <c r="C1" s="436"/>
      <c r="D1" s="436"/>
      <c r="E1" s="436"/>
      <c r="F1" s="16"/>
      <c r="G1" s="17"/>
    </row>
    <row r="2" spans="1:15">
      <c r="A2" s="412" t="s">
        <v>0</v>
      </c>
      <c r="B2" s="413"/>
      <c r="C2" s="413"/>
      <c r="D2" s="413"/>
      <c r="E2" s="413"/>
      <c r="F2" s="413"/>
      <c r="G2" s="437"/>
    </row>
    <row r="3" spans="1:15" ht="14">
      <c r="A3" s="438" t="s">
        <v>1167</v>
      </c>
      <c r="B3" s="439"/>
      <c r="C3" s="439"/>
      <c r="D3" s="439"/>
      <c r="E3" s="439"/>
      <c r="F3" s="439"/>
      <c r="G3" s="440"/>
    </row>
    <row r="4" spans="1:15" ht="13">
      <c r="A4" s="441" t="s">
        <v>158</v>
      </c>
      <c r="B4" s="442"/>
      <c r="C4" s="442"/>
      <c r="D4" s="442"/>
      <c r="E4" s="442"/>
      <c r="F4" s="442"/>
      <c r="G4" s="443"/>
    </row>
    <row r="5" spans="1:15" ht="13">
      <c r="A5" s="18"/>
      <c r="B5" s="444" t="s">
        <v>159</v>
      </c>
      <c r="C5" s="444"/>
      <c r="D5" s="444"/>
      <c r="E5" s="444"/>
      <c r="F5" s="423"/>
      <c r="G5" s="19"/>
    </row>
    <row r="6" spans="1:15" ht="14.15" customHeight="1">
      <c r="A6" s="20" t="s">
        <v>51</v>
      </c>
      <c r="B6" s="21" t="s">
        <v>160</v>
      </c>
      <c r="C6" s="22" t="s">
        <v>161</v>
      </c>
      <c r="D6" s="23" t="s">
        <v>104</v>
      </c>
      <c r="E6" s="24" t="s">
        <v>84</v>
      </c>
      <c r="F6" s="25" t="s">
        <v>92</v>
      </c>
      <c r="G6" s="19"/>
    </row>
    <row r="7" spans="1:15" ht="14.15" customHeight="1">
      <c r="A7" s="25" t="s">
        <v>109</v>
      </c>
      <c r="B7" s="26" t="s">
        <v>162</v>
      </c>
      <c r="C7" s="26" t="s">
        <v>163</v>
      </c>
      <c r="D7" s="26" t="s">
        <v>120</v>
      </c>
      <c r="E7" s="26" t="s">
        <v>157</v>
      </c>
      <c r="F7" s="26" t="s">
        <v>157</v>
      </c>
      <c r="G7" s="19"/>
    </row>
    <row r="8" spans="1:15" ht="14.15" customHeight="1">
      <c r="A8" s="27" t="s">
        <v>83</v>
      </c>
      <c r="B8" s="26" t="s">
        <v>162</v>
      </c>
      <c r="C8" s="26" t="s">
        <v>163</v>
      </c>
      <c r="D8" s="26" t="s">
        <v>120</v>
      </c>
      <c r="E8" s="26" t="s">
        <v>120</v>
      </c>
      <c r="F8" s="26" t="s">
        <v>157</v>
      </c>
      <c r="G8" s="19"/>
    </row>
    <row r="9" spans="1:15" ht="14.15" customHeight="1">
      <c r="A9" s="23" t="s">
        <v>114</v>
      </c>
      <c r="B9" s="26" t="s">
        <v>162</v>
      </c>
      <c r="C9" s="26" t="s">
        <v>163</v>
      </c>
      <c r="D9" s="26" t="s">
        <v>163</v>
      </c>
      <c r="E9" s="26" t="s">
        <v>120</v>
      </c>
      <c r="F9" s="26" t="s">
        <v>120</v>
      </c>
      <c r="G9" s="19"/>
    </row>
    <row r="10" spans="1:15" ht="14.15" customHeight="1">
      <c r="A10" s="22" t="s">
        <v>126</v>
      </c>
      <c r="B10" s="26" t="s">
        <v>164</v>
      </c>
      <c r="C10" s="26" t="s">
        <v>162</v>
      </c>
      <c r="D10" s="26" t="s">
        <v>163</v>
      </c>
      <c r="E10" s="26" t="s">
        <v>163</v>
      </c>
      <c r="F10" s="26" t="s">
        <v>163</v>
      </c>
      <c r="G10" s="19"/>
    </row>
    <row r="11" spans="1:15" ht="14.15" customHeight="1">
      <c r="A11" s="21" t="s">
        <v>165</v>
      </c>
      <c r="B11" s="26" t="s">
        <v>164</v>
      </c>
      <c r="C11" s="26" t="s">
        <v>164</v>
      </c>
      <c r="D11" s="26" t="s">
        <v>162</v>
      </c>
      <c r="E11" s="26" t="s">
        <v>162</v>
      </c>
      <c r="F11" s="26" t="s">
        <v>162</v>
      </c>
      <c r="G11" s="28"/>
    </row>
    <row r="12" spans="1:15">
      <c r="A12" s="29"/>
      <c r="G12" s="30"/>
    </row>
    <row r="13" spans="1:15" ht="43.5">
      <c r="A13" s="441" t="s">
        <v>166</v>
      </c>
      <c r="B13" s="442"/>
      <c r="C13" s="442"/>
      <c r="D13" s="442"/>
      <c r="E13" s="442"/>
      <c r="F13" s="442"/>
      <c r="G13" s="443"/>
      <c r="J13" s="325" t="s">
        <v>1775</v>
      </c>
      <c r="K13" s="325" t="s">
        <v>1776</v>
      </c>
      <c r="L13" s="325" t="s">
        <v>1777</v>
      </c>
      <c r="M13" s="325" t="s">
        <v>1778</v>
      </c>
      <c r="N13" s="325" t="s">
        <v>1779</v>
      </c>
      <c r="O13" s="325" t="s">
        <v>1780</v>
      </c>
    </row>
    <row r="14" spans="1:15" ht="29">
      <c r="A14" s="18"/>
      <c r="B14" s="444" t="s">
        <v>167</v>
      </c>
      <c r="C14" s="444"/>
      <c r="D14" s="444"/>
      <c r="E14" s="444"/>
      <c r="F14" s="423"/>
      <c r="G14" s="19"/>
      <c r="J14" s="327" t="s">
        <v>1781</v>
      </c>
      <c r="K14" s="326" t="s">
        <v>162</v>
      </c>
      <c r="L14" s="326" t="s">
        <v>163</v>
      </c>
      <c r="M14" s="326" t="s">
        <v>120</v>
      </c>
      <c r="N14" s="326" t="s">
        <v>157</v>
      </c>
      <c r="O14" s="326" t="s">
        <v>157</v>
      </c>
    </row>
    <row r="15" spans="1:15" ht="14.5">
      <c r="A15" s="20" t="s">
        <v>168</v>
      </c>
      <c r="B15" s="21" t="s">
        <v>98</v>
      </c>
      <c r="C15" s="31" t="s">
        <v>169</v>
      </c>
      <c r="D15" s="32" t="s">
        <v>85</v>
      </c>
      <c r="E15" s="33" t="s">
        <v>93</v>
      </c>
      <c r="F15" s="25" t="s">
        <v>170</v>
      </c>
      <c r="G15" s="19"/>
      <c r="J15" s="327" t="s">
        <v>1782</v>
      </c>
      <c r="K15" s="326" t="s">
        <v>164</v>
      </c>
      <c r="L15" s="326" t="s">
        <v>162</v>
      </c>
      <c r="M15" s="326" t="s">
        <v>163</v>
      </c>
      <c r="N15" s="326" t="s">
        <v>120</v>
      </c>
      <c r="O15" s="326" t="s">
        <v>120</v>
      </c>
    </row>
    <row r="16" spans="1:15" ht="29">
      <c r="A16" s="25" t="s">
        <v>157</v>
      </c>
      <c r="B16" s="26" t="s">
        <v>162</v>
      </c>
      <c r="C16" s="26" t="s">
        <v>163</v>
      </c>
      <c r="D16" s="26" t="s">
        <v>163</v>
      </c>
      <c r="E16" s="26" t="s">
        <v>157</v>
      </c>
      <c r="F16" s="26" t="s">
        <v>157</v>
      </c>
      <c r="G16" s="19"/>
      <c r="J16" s="327" t="s">
        <v>1783</v>
      </c>
      <c r="K16" s="326" t="s">
        <v>164</v>
      </c>
      <c r="L16" s="326" t="s">
        <v>164</v>
      </c>
      <c r="M16" s="326" t="s">
        <v>162</v>
      </c>
      <c r="N16" s="326" t="s">
        <v>163</v>
      </c>
      <c r="O16" s="326" t="s">
        <v>163</v>
      </c>
    </row>
    <row r="17" spans="1:15" ht="14.5">
      <c r="A17" s="33" t="s">
        <v>120</v>
      </c>
      <c r="B17" s="26" t="s">
        <v>162</v>
      </c>
      <c r="C17" s="26" t="s">
        <v>162</v>
      </c>
      <c r="D17" s="26" t="s">
        <v>163</v>
      </c>
      <c r="E17" s="26" t="s">
        <v>120</v>
      </c>
      <c r="F17" s="26" t="s">
        <v>120</v>
      </c>
      <c r="G17" s="19"/>
      <c r="J17" s="327" t="s">
        <v>1784</v>
      </c>
      <c r="K17" s="326" t="s">
        <v>164</v>
      </c>
      <c r="L17" s="326" t="s">
        <v>164</v>
      </c>
      <c r="M17" s="326" t="s">
        <v>164</v>
      </c>
      <c r="N17" s="326" t="s">
        <v>162</v>
      </c>
      <c r="O17" s="326" t="s">
        <v>162</v>
      </c>
    </row>
    <row r="18" spans="1:15" ht="29">
      <c r="A18" s="32" t="s">
        <v>163</v>
      </c>
      <c r="B18" s="26" t="s">
        <v>162</v>
      </c>
      <c r="C18" s="26" t="s">
        <v>162</v>
      </c>
      <c r="D18" s="26" t="s">
        <v>162</v>
      </c>
      <c r="E18" s="26" t="s">
        <v>163</v>
      </c>
      <c r="F18" s="26" t="s">
        <v>163</v>
      </c>
      <c r="G18" s="19"/>
      <c r="J18" s="327" t="s">
        <v>1785</v>
      </c>
      <c r="K18" s="326" t="s">
        <v>164</v>
      </c>
      <c r="L18" s="326" t="s">
        <v>164</v>
      </c>
      <c r="M18" s="326" t="s">
        <v>164</v>
      </c>
      <c r="N18" s="326" t="s">
        <v>164</v>
      </c>
      <c r="O18" s="326" t="s">
        <v>164</v>
      </c>
    </row>
    <row r="19" spans="1:15">
      <c r="A19" s="31" t="s">
        <v>162</v>
      </c>
      <c r="B19" s="26" t="s">
        <v>164</v>
      </c>
      <c r="C19" s="26" t="s">
        <v>162</v>
      </c>
      <c r="D19" s="26" t="s">
        <v>162</v>
      </c>
      <c r="E19" s="26" t="s">
        <v>162</v>
      </c>
      <c r="F19" s="26" t="s">
        <v>162</v>
      </c>
      <c r="G19" s="19"/>
    </row>
    <row r="20" spans="1:15">
      <c r="A20" s="21" t="s">
        <v>164</v>
      </c>
      <c r="B20" s="26" t="s">
        <v>164</v>
      </c>
      <c r="C20" s="26" t="s">
        <v>164</v>
      </c>
      <c r="D20" s="26" t="s">
        <v>164</v>
      </c>
      <c r="E20" s="26" t="s">
        <v>164</v>
      </c>
      <c r="F20" s="26" t="s">
        <v>164</v>
      </c>
      <c r="G20" s="28"/>
    </row>
    <row r="21" spans="1:15" ht="43.5">
      <c r="A21" s="29"/>
      <c r="G21" s="30"/>
      <c r="J21" s="325" t="s">
        <v>56</v>
      </c>
      <c r="K21" s="329" t="s">
        <v>1786</v>
      </c>
    </row>
    <row r="22" spans="1:15" ht="16.5" customHeight="1">
      <c r="A22" s="447" t="s">
        <v>171</v>
      </c>
      <c r="B22" s="448"/>
      <c r="C22" s="448"/>
      <c r="D22" s="448"/>
      <c r="E22" s="448"/>
      <c r="F22" s="448"/>
      <c r="G22" s="449"/>
      <c r="J22" s="326" t="s">
        <v>98</v>
      </c>
      <c r="K22" s="328" t="s">
        <v>1787</v>
      </c>
    </row>
    <row r="23" spans="1:15" ht="14.5">
      <c r="A23" s="450"/>
      <c r="B23" s="451"/>
      <c r="C23" s="444" t="s">
        <v>159</v>
      </c>
      <c r="D23" s="444"/>
      <c r="E23" s="444"/>
      <c r="F23" s="444"/>
      <c r="G23" s="423"/>
      <c r="J23" s="326" t="s">
        <v>169</v>
      </c>
      <c r="K23" s="328" t="s">
        <v>1788</v>
      </c>
    </row>
    <row r="24" spans="1:15" ht="14.5">
      <c r="A24" s="445"/>
      <c r="B24" s="446"/>
      <c r="C24" s="34">
        <v>1</v>
      </c>
      <c r="D24" s="34">
        <v>2</v>
      </c>
      <c r="E24" s="34">
        <v>3</v>
      </c>
      <c r="F24" s="34">
        <v>4</v>
      </c>
      <c r="G24" s="34">
        <v>5</v>
      </c>
      <c r="J24" s="326" t="s">
        <v>85</v>
      </c>
      <c r="K24" s="328" t="s">
        <v>1789</v>
      </c>
    </row>
    <row r="25" spans="1:15" ht="14.5">
      <c r="A25" s="375" t="s">
        <v>51</v>
      </c>
      <c r="B25" s="387"/>
      <c r="C25" s="21" t="s">
        <v>160</v>
      </c>
      <c r="D25" s="22" t="s">
        <v>161</v>
      </c>
      <c r="E25" s="23" t="s">
        <v>104</v>
      </c>
      <c r="F25" s="24" t="s">
        <v>84</v>
      </c>
      <c r="G25" s="25" t="s">
        <v>92</v>
      </c>
      <c r="J25" s="326" t="s">
        <v>93</v>
      </c>
      <c r="K25" s="328" t="s">
        <v>1790</v>
      </c>
    </row>
    <row r="26" spans="1:15" ht="29">
      <c r="A26" s="34">
        <v>5</v>
      </c>
      <c r="B26" s="25" t="s">
        <v>109</v>
      </c>
      <c r="C26" s="35">
        <f>A26*C24</f>
        <v>5</v>
      </c>
      <c r="D26" s="36">
        <f>A26*D24</f>
        <v>10</v>
      </c>
      <c r="E26" s="37">
        <f>A26*E24</f>
        <v>15</v>
      </c>
      <c r="F26" s="38">
        <f>A26*F24</f>
        <v>20</v>
      </c>
      <c r="G26" s="38">
        <f>A26*G24</f>
        <v>25</v>
      </c>
      <c r="J26" s="326" t="s">
        <v>170</v>
      </c>
      <c r="K26" s="328" t="s">
        <v>1790</v>
      </c>
    </row>
    <row r="27" spans="1:15">
      <c r="A27" s="34">
        <v>4</v>
      </c>
      <c r="B27" s="27" t="s">
        <v>83</v>
      </c>
      <c r="C27" s="35">
        <f>A27*C24</f>
        <v>4</v>
      </c>
      <c r="D27" s="36">
        <f>A27*D24</f>
        <v>8</v>
      </c>
      <c r="E27" s="37">
        <f>A27*E24</f>
        <v>12</v>
      </c>
      <c r="F27" s="37">
        <f>A27*F24</f>
        <v>16</v>
      </c>
      <c r="G27" s="38">
        <f>A27*G24</f>
        <v>20</v>
      </c>
    </row>
    <row r="28" spans="1:15" ht="14.5">
      <c r="A28" s="34">
        <v>3</v>
      </c>
      <c r="B28" s="23" t="s">
        <v>114</v>
      </c>
      <c r="C28" s="35">
        <f>A28*C24</f>
        <v>3</v>
      </c>
      <c r="D28" s="36">
        <f>A28*D24</f>
        <v>6</v>
      </c>
      <c r="E28" s="36">
        <f>A28*E24</f>
        <v>9</v>
      </c>
      <c r="F28" s="37">
        <f>A28*F24</f>
        <v>12</v>
      </c>
      <c r="G28" s="37">
        <f>A28*G24</f>
        <v>15</v>
      </c>
      <c r="J28" s="330" t="s">
        <v>1791</v>
      </c>
    </row>
    <row r="29" spans="1:15" ht="14.5">
      <c r="A29" s="34">
        <v>2</v>
      </c>
      <c r="B29" s="22" t="s">
        <v>126</v>
      </c>
      <c r="C29" s="21">
        <f>A29*C24</f>
        <v>2</v>
      </c>
      <c r="D29" s="35">
        <f>A29*D24</f>
        <v>4</v>
      </c>
      <c r="E29" s="36">
        <f>A29*E24</f>
        <v>6</v>
      </c>
      <c r="F29" s="36">
        <f>A29*F24</f>
        <v>8</v>
      </c>
      <c r="G29" s="36">
        <f>A29*G24</f>
        <v>10</v>
      </c>
      <c r="J29"/>
    </row>
    <row r="30" spans="1:15" ht="14.5">
      <c r="A30" s="34">
        <v>1</v>
      </c>
      <c r="B30" s="21" t="s">
        <v>165</v>
      </c>
      <c r="C30" s="21">
        <f>A30*C24</f>
        <v>1</v>
      </c>
      <c r="D30" s="21">
        <f>A30*D24</f>
        <v>2</v>
      </c>
      <c r="E30" s="35">
        <f>A30*E24</f>
        <v>3</v>
      </c>
      <c r="F30" s="35">
        <f>A30*F24</f>
        <v>4</v>
      </c>
      <c r="G30" s="35">
        <f>A30*G24</f>
        <v>5</v>
      </c>
      <c r="J30" s="331" t="s">
        <v>1792</v>
      </c>
    </row>
    <row r="31" spans="1:15" ht="14.5">
      <c r="J31"/>
    </row>
    <row r="32" spans="1:15" ht="14.5">
      <c r="J32" s="331" t="s">
        <v>1793</v>
      </c>
    </row>
  </sheetData>
  <mergeCells count="12">
    <mergeCell ref="A24:B24"/>
    <mergeCell ref="A25:B25"/>
    <mergeCell ref="A13:G13"/>
    <mergeCell ref="B14:F14"/>
    <mergeCell ref="A22:G22"/>
    <mergeCell ref="A23:B23"/>
    <mergeCell ref="C23:G23"/>
    <mergeCell ref="B1:E1"/>
    <mergeCell ref="A2:G2"/>
    <mergeCell ref="A3:G3"/>
    <mergeCell ref="A4:G4"/>
    <mergeCell ref="B5:F5"/>
  </mergeCells>
  <conditionalFormatting sqref="B7:F11">
    <cfRule type="cellIs" dxfId="14" priority="12" operator="equal">
      <formula>"Very Low"</formula>
    </cfRule>
    <cfRule type="cellIs" dxfId="13" priority="13" operator="equal">
      <formula>"Low"</formula>
    </cfRule>
    <cfRule type="cellIs" dxfId="12" priority="14" operator="equal">
      <formula>"Very High"</formula>
    </cfRule>
    <cfRule type="cellIs" dxfId="11" priority="15" operator="equal">
      <formula>"High"</formula>
    </cfRule>
    <cfRule type="cellIs" dxfId="10" priority="16" operator="equal">
      <formula>"Medium"</formula>
    </cfRule>
  </conditionalFormatting>
  <conditionalFormatting sqref="B16:F20">
    <cfRule type="cellIs" dxfId="9" priority="1" operator="equal">
      <formula>"Very High"</formula>
    </cfRule>
    <cfRule type="cellIs" dxfId="8" priority="2" operator="equal">
      <formula>"High"</formula>
    </cfRule>
    <cfRule type="cellIs" dxfId="7" priority="3" operator="equal">
      <formula>"Medium"</formula>
    </cfRule>
    <cfRule type="cellIs" dxfId="6" priority="4" operator="equal">
      <formula>"Low"</formula>
    </cfRule>
    <cfRule type="cellIs" dxfId="5" priority="5" operator="equal">
      <formula>"Very Low"</formula>
    </cfRule>
  </conditionalFormatting>
  <conditionalFormatting sqref="C26:G30">
    <cfRule type="cellIs" dxfId="4" priority="6" operator="equal">
      <formula>"Very Low"</formula>
    </cfRule>
    <cfRule type="cellIs" dxfId="3" priority="7" operator="equal">
      <formula>"Low"</formula>
    </cfRule>
    <cfRule type="cellIs" dxfId="2" priority="8" operator="equal">
      <formula>"Very High"</formula>
    </cfRule>
    <cfRule type="cellIs" dxfId="1" priority="9" operator="equal">
      <formula>"High"</formula>
    </cfRule>
    <cfRule type="cellIs" dxfId="0" priority="10" operator="equal">
      <formula>"Medium"</formula>
    </cfRule>
  </conditionalFormatting>
  <pageMargins left="0.7" right="0.7" top="0.75" bottom="0.75" header="0.3" footer="0.3"/>
  <pageSetup orientation="portrait" r:id="rId1"/>
  <headerFooter>
    <oddHeader>&amp;C&amp;K00FF00&amp;10&amp;"Calibri" Classification: &amp;K00FF00&amp;10&amp;"Calibri"&amp;BRestricted مقيَد&amp;B</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1"/>
  <sheetViews>
    <sheetView topLeftCell="B61" workbookViewId="0">
      <selection activeCell="A43" sqref="A43"/>
    </sheetView>
  </sheetViews>
  <sheetFormatPr defaultColWidth="9" defaultRowHeight="14.5" outlineLevelCol="1"/>
  <cols>
    <col min="1" max="1" width="54.54296875" customWidth="1"/>
    <col min="2" max="2" width="44.26953125" style="1" customWidth="1"/>
    <col min="3" max="3" width="39" style="1" customWidth="1"/>
    <col min="4" max="4" width="54.54296875" style="2" customWidth="1" outlineLevel="1"/>
    <col min="9" max="9" width="36.26953125" customWidth="1"/>
    <col min="10" max="10" width="40" customWidth="1"/>
    <col min="11" max="11" width="19.7265625" customWidth="1"/>
    <col min="12" max="12" width="15.54296875" customWidth="1"/>
    <col min="13" max="13" width="40" customWidth="1"/>
    <col min="14" max="14" width="34.7265625" customWidth="1"/>
    <col min="15" max="15" width="24.26953125" customWidth="1"/>
    <col min="16" max="16" width="35.7265625" customWidth="1"/>
    <col min="17" max="17" width="39.26953125" customWidth="1"/>
  </cols>
  <sheetData>
    <row r="1" spans="1:4">
      <c r="B1" s="3" t="s">
        <v>172</v>
      </c>
      <c r="C1" s="3" t="s">
        <v>173</v>
      </c>
      <c r="D1" s="4" t="s">
        <v>174</v>
      </c>
    </row>
    <row r="2" spans="1:4">
      <c r="A2" s="5" t="s">
        <v>175</v>
      </c>
      <c r="B2" s="6" t="s">
        <v>176</v>
      </c>
      <c r="C2" s="7" t="s">
        <v>177</v>
      </c>
      <c r="D2" s="5" t="s">
        <v>175</v>
      </c>
    </row>
    <row r="3" spans="1:4">
      <c r="A3" s="8" t="s">
        <v>178</v>
      </c>
      <c r="B3" s="6" t="s">
        <v>176</v>
      </c>
      <c r="C3" s="7" t="s">
        <v>177</v>
      </c>
      <c r="D3" s="8" t="s">
        <v>178</v>
      </c>
    </row>
    <row r="4" spans="1:4">
      <c r="A4" s="8" t="s">
        <v>179</v>
      </c>
      <c r="B4" s="6" t="s">
        <v>176</v>
      </c>
      <c r="C4" s="7" t="s">
        <v>177</v>
      </c>
      <c r="D4" s="8" t="s">
        <v>179</v>
      </c>
    </row>
    <row r="5" spans="1:4">
      <c r="A5" s="8" t="s">
        <v>180</v>
      </c>
      <c r="B5" s="6" t="s">
        <v>176</v>
      </c>
      <c r="C5" s="9" t="s">
        <v>181</v>
      </c>
      <c r="D5" s="8" t="s">
        <v>180</v>
      </c>
    </row>
    <row r="6" spans="1:4">
      <c r="A6" s="8" t="s">
        <v>182</v>
      </c>
      <c r="B6" s="6" t="s">
        <v>176</v>
      </c>
      <c r="C6" s="9" t="s">
        <v>181</v>
      </c>
      <c r="D6" s="8" t="s">
        <v>182</v>
      </c>
    </row>
    <row r="7" spans="1:4">
      <c r="A7" s="8" t="s">
        <v>183</v>
      </c>
      <c r="B7" s="6" t="s">
        <v>176</v>
      </c>
      <c r="C7" s="9" t="s">
        <v>181</v>
      </c>
      <c r="D7" s="8" t="s">
        <v>183</v>
      </c>
    </row>
    <row r="8" spans="1:4">
      <c r="A8" s="8" t="s">
        <v>184</v>
      </c>
      <c r="B8" s="6" t="s">
        <v>176</v>
      </c>
      <c r="C8" s="9" t="s">
        <v>181</v>
      </c>
      <c r="D8" s="8" t="s">
        <v>184</v>
      </c>
    </row>
    <row r="9" spans="1:4">
      <c r="A9" s="8" t="s">
        <v>185</v>
      </c>
      <c r="B9" s="6" t="s">
        <v>176</v>
      </c>
      <c r="C9" s="9" t="s">
        <v>181</v>
      </c>
      <c r="D9" s="8" t="s">
        <v>185</v>
      </c>
    </row>
    <row r="10" spans="1:4">
      <c r="A10" s="8" t="s">
        <v>186</v>
      </c>
      <c r="B10" s="6" t="s">
        <v>176</v>
      </c>
      <c r="C10" s="9" t="s">
        <v>181</v>
      </c>
      <c r="D10" s="8" t="s">
        <v>186</v>
      </c>
    </row>
    <row r="11" spans="1:4">
      <c r="A11" s="8" t="s">
        <v>187</v>
      </c>
      <c r="B11" s="6" t="s">
        <v>176</v>
      </c>
      <c r="C11" s="9" t="s">
        <v>181</v>
      </c>
      <c r="D11" s="8" t="s">
        <v>187</v>
      </c>
    </row>
    <row r="12" spans="1:4">
      <c r="A12" s="8" t="s">
        <v>188</v>
      </c>
      <c r="B12" s="6" t="s">
        <v>176</v>
      </c>
      <c r="C12" s="9" t="s">
        <v>181</v>
      </c>
      <c r="D12" s="8" t="s">
        <v>188</v>
      </c>
    </row>
    <row r="13" spans="1:4">
      <c r="A13" s="8" t="s">
        <v>189</v>
      </c>
      <c r="B13" s="6" t="s">
        <v>176</v>
      </c>
      <c r="C13" s="9" t="s">
        <v>181</v>
      </c>
      <c r="D13" s="8" t="s">
        <v>189</v>
      </c>
    </row>
    <row r="14" spans="1:4">
      <c r="A14" s="8" t="s">
        <v>190</v>
      </c>
      <c r="B14" s="6" t="s">
        <v>176</v>
      </c>
      <c r="C14" s="9" t="s">
        <v>181</v>
      </c>
      <c r="D14" s="8" t="s">
        <v>190</v>
      </c>
    </row>
    <row r="15" spans="1:4">
      <c r="A15" s="8" t="s">
        <v>191</v>
      </c>
      <c r="B15" s="6" t="s">
        <v>176</v>
      </c>
      <c r="C15" s="9" t="s">
        <v>181</v>
      </c>
      <c r="D15" s="8" t="s">
        <v>191</v>
      </c>
    </row>
    <row r="16" spans="1:4">
      <c r="A16" s="8" t="s">
        <v>192</v>
      </c>
      <c r="B16" s="10" t="s">
        <v>193</v>
      </c>
      <c r="C16" s="9" t="s">
        <v>181</v>
      </c>
      <c r="D16" s="8" t="s">
        <v>192</v>
      </c>
    </row>
    <row r="17" spans="1:4">
      <c r="A17" s="8" t="s">
        <v>194</v>
      </c>
      <c r="B17" s="10" t="s">
        <v>193</v>
      </c>
      <c r="C17" s="9" t="s">
        <v>181</v>
      </c>
      <c r="D17" s="8" t="s">
        <v>194</v>
      </c>
    </row>
    <row r="18" spans="1:4">
      <c r="A18" s="8" t="s">
        <v>186</v>
      </c>
      <c r="B18" s="10" t="s">
        <v>193</v>
      </c>
      <c r="C18" s="9" t="s">
        <v>181</v>
      </c>
      <c r="D18" s="8" t="s">
        <v>186</v>
      </c>
    </row>
    <row r="19" spans="1:4">
      <c r="A19" s="8" t="s">
        <v>195</v>
      </c>
      <c r="B19" s="10" t="s">
        <v>193</v>
      </c>
      <c r="C19" s="9" t="s">
        <v>196</v>
      </c>
      <c r="D19" s="8" t="s">
        <v>195</v>
      </c>
    </row>
    <row r="20" spans="1:4">
      <c r="A20" s="8" t="s">
        <v>197</v>
      </c>
      <c r="B20" s="10" t="s">
        <v>193</v>
      </c>
      <c r="C20" s="9" t="s">
        <v>196</v>
      </c>
      <c r="D20" s="8" t="s">
        <v>197</v>
      </c>
    </row>
    <row r="21" spans="1:4">
      <c r="A21" s="8" t="s">
        <v>198</v>
      </c>
      <c r="B21" s="10" t="s">
        <v>199</v>
      </c>
      <c r="C21" s="9" t="s">
        <v>200</v>
      </c>
      <c r="D21" s="8" t="s">
        <v>198</v>
      </c>
    </row>
    <row r="22" spans="1:4">
      <c r="A22" s="8" t="s">
        <v>201</v>
      </c>
      <c r="B22" s="10" t="s">
        <v>199</v>
      </c>
      <c r="C22" s="9" t="s">
        <v>200</v>
      </c>
      <c r="D22" s="8" t="s">
        <v>201</v>
      </c>
    </row>
    <row r="23" spans="1:4">
      <c r="A23" s="8" t="s">
        <v>202</v>
      </c>
      <c r="B23" s="10" t="s">
        <v>199</v>
      </c>
      <c r="C23" s="9" t="s">
        <v>203</v>
      </c>
      <c r="D23" s="8" t="s">
        <v>202</v>
      </c>
    </row>
    <row r="24" spans="1:4">
      <c r="A24" s="8" t="s">
        <v>204</v>
      </c>
      <c r="B24" s="10" t="s">
        <v>199</v>
      </c>
      <c r="C24" s="9" t="s">
        <v>203</v>
      </c>
      <c r="D24" s="8" t="s">
        <v>204</v>
      </c>
    </row>
    <row r="25" spans="1:4">
      <c r="A25" s="8" t="s">
        <v>205</v>
      </c>
      <c r="B25" s="10" t="s">
        <v>199</v>
      </c>
      <c r="C25" s="9" t="s">
        <v>203</v>
      </c>
      <c r="D25" s="8" t="s">
        <v>205</v>
      </c>
    </row>
    <row r="26" spans="1:4">
      <c r="A26" s="8" t="s">
        <v>206</v>
      </c>
      <c r="B26" s="10" t="s">
        <v>199</v>
      </c>
      <c r="C26" s="11" t="s">
        <v>207</v>
      </c>
      <c r="D26" s="8" t="s">
        <v>206</v>
      </c>
    </row>
    <row r="27" spans="1:4" ht="28">
      <c r="A27" s="8" t="s">
        <v>208</v>
      </c>
      <c r="B27" s="12" t="s">
        <v>209</v>
      </c>
      <c r="C27" s="9" t="s">
        <v>210</v>
      </c>
      <c r="D27" s="8" t="s">
        <v>208</v>
      </c>
    </row>
    <row r="28" spans="1:4" ht="28">
      <c r="A28" s="8" t="s">
        <v>91</v>
      </c>
      <c r="B28" s="12" t="s">
        <v>209</v>
      </c>
      <c r="C28" s="9" t="s">
        <v>210</v>
      </c>
      <c r="D28" s="8" t="s">
        <v>91</v>
      </c>
    </row>
    <row r="29" spans="1:4" ht="28">
      <c r="A29" s="8" t="s">
        <v>211</v>
      </c>
      <c r="B29" s="12" t="s">
        <v>209</v>
      </c>
      <c r="C29" s="9" t="s">
        <v>210</v>
      </c>
      <c r="D29" s="8" t="s">
        <v>211</v>
      </c>
    </row>
    <row r="30" spans="1:4" ht="28">
      <c r="A30" s="8" t="s">
        <v>212</v>
      </c>
      <c r="B30" s="12" t="s">
        <v>209</v>
      </c>
      <c r="C30" s="9" t="s">
        <v>210</v>
      </c>
      <c r="D30" s="8" t="s">
        <v>212</v>
      </c>
    </row>
    <row r="31" spans="1:4" ht="28">
      <c r="A31" s="8" t="s">
        <v>213</v>
      </c>
      <c r="B31" s="12" t="s">
        <v>209</v>
      </c>
      <c r="C31" s="9" t="s">
        <v>210</v>
      </c>
      <c r="D31" s="8" t="s">
        <v>213</v>
      </c>
    </row>
    <row r="32" spans="1:4" ht="28">
      <c r="A32" s="8" t="s">
        <v>214</v>
      </c>
      <c r="B32" s="12" t="s">
        <v>209</v>
      </c>
      <c r="C32" s="9" t="s">
        <v>210</v>
      </c>
      <c r="D32" s="8" t="s">
        <v>214</v>
      </c>
    </row>
    <row r="33" spans="1:4" ht="28">
      <c r="A33" s="8" t="s">
        <v>215</v>
      </c>
      <c r="B33" s="12" t="s">
        <v>209</v>
      </c>
      <c r="C33" s="9" t="s">
        <v>210</v>
      </c>
      <c r="D33" s="8" t="s">
        <v>215</v>
      </c>
    </row>
    <row r="34" spans="1:4" ht="28">
      <c r="A34" s="8" t="s">
        <v>216</v>
      </c>
      <c r="B34" s="12" t="s">
        <v>209</v>
      </c>
      <c r="C34" s="9" t="s">
        <v>210</v>
      </c>
      <c r="D34" s="8" t="s">
        <v>216</v>
      </c>
    </row>
    <row r="35" spans="1:4" ht="28">
      <c r="A35" s="8" t="s">
        <v>217</v>
      </c>
      <c r="B35" s="12" t="s">
        <v>209</v>
      </c>
      <c r="C35" s="9" t="s">
        <v>218</v>
      </c>
      <c r="D35" s="8" t="s">
        <v>217</v>
      </c>
    </row>
    <row r="36" spans="1:4" ht="28">
      <c r="A36" s="8" t="s">
        <v>219</v>
      </c>
      <c r="B36" s="12" t="s">
        <v>209</v>
      </c>
      <c r="C36" s="9" t="s">
        <v>218</v>
      </c>
      <c r="D36" s="8" t="s">
        <v>219</v>
      </c>
    </row>
    <row r="37" spans="1:4" ht="28">
      <c r="A37" s="8" t="s">
        <v>220</v>
      </c>
      <c r="B37" s="12" t="s">
        <v>209</v>
      </c>
      <c r="C37" s="9" t="s">
        <v>218</v>
      </c>
      <c r="D37" s="8" t="s">
        <v>220</v>
      </c>
    </row>
    <row r="38" spans="1:4" ht="28">
      <c r="A38" s="8" t="s">
        <v>221</v>
      </c>
      <c r="B38" s="12" t="s">
        <v>209</v>
      </c>
      <c r="C38" s="9" t="s">
        <v>218</v>
      </c>
      <c r="D38" s="8" t="s">
        <v>221</v>
      </c>
    </row>
    <row r="39" spans="1:4" ht="28">
      <c r="A39" s="8" t="s">
        <v>222</v>
      </c>
      <c r="B39" s="12" t="s">
        <v>209</v>
      </c>
      <c r="C39" s="9" t="s">
        <v>218</v>
      </c>
      <c r="D39" s="8" t="s">
        <v>222</v>
      </c>
    </row>
    <row r="40" spans="1:4" ht="28">
      <c r="A40" s="8" t="s">
        <v>103</v>
      </c>
      <c r="B40" s="12" t="s">
        <v>209</v>
      </c>
      <c r="C40" s="9" t="s">
        <v>218</v>
      </c>
      <c r="D40" s="8" t="s">
        <v>103</v>
      </c>
    </row>
    <row r="41" spans="1:4" ht="28">
      <c r="A41" s="8" t="s">
        <v>223</v>
      </c>
      <c r="B41" s="12" t="s">
        <v>209</v>
      </c>
      <c r="C41" s="9" t="s">
        <v>224</v>
      </c>
      <c r="D41" s="8" t="s">
        <v>223</v>
      </c>
    </row>
    <row r="42" spans="1:4" ht="28">
      <c r="A42" s="8" t="s">
        <v>225</v>
      </c>
      <c r="B42" s="12" t="s">
        <v>209</v>
      </c>
      <c r="C42" s="9" t="s">
        <v>224</v>
      </c>
      <c r="D42" s="8" t="s">
        <v>225</v>
      </c>
    </row>
    <row r="43" spans="1:4" ht="28">
      <c r="A43" s="8" t="s">
        <v>82</v>
      </c>
      <c r="B43" s="12" t="s">
        <v>209</v>
      </c>
      <c r="C43" s="9" t="s">
        <v>226</v>
      </c>
      <c r="D43" s="8" t="s">
        <v>82</v>
      </c>
    </row>
    <row r="44" spans="1:4" ht="28">
      <c r="A44" s="8" t="s">
        <v>227</v>
      </c>
      <c r="B44" s="12" t="s">
        <v>209</v>
      </c>
      <c r="C44" s="9" t="s">
        <v>226</v>
      </c>
      <c r="D44" s="8" t="s">
        <v>227</v>
      </c>
    </row>
    <row r="45" spans="1:4" ht="28">
      <c r="A45" s="8" t="s">
        <v>228</v>
      </c>
      <c r="B45" s="12" t="s">
        <v>209</v>
      </c>
      <c r="C45" s="11" t="s">
        <v>229</v>
      </c>
      <c r="D45" s="8" t="s">
        <v>228</v>
      </c>
    </row>
    <row r="46" spans="1:4">
      <c r="A46" s="8" t="s">
        <v>230</v>
      </c>
      <c r="B46" s="12" t="s">
        <v>231</v>
      </c>
      <c r="C46" s="9" t="s">
        <v>232</v>
      </c>
      <c r="D46" s="8" t="s">
        <v>230</v>
      </c>
    </row>
    <row r="47" spans="1:4">
      <c r="A47" s="8" t="s">
        <v>233</v>
      </c>
      <c r="B47" s="12" t="s">
        <v>231</v>
      </c>
      <c r="C47" s="9" t="s">
        <v>232</v>
      </c>
      <c r="D47" s="8" t="s">
        <v>233</v>
      </c>
    </row>
    <row r="48" spans="1:4">
      <c r="A48" s="8" t="s">
        <v>234</v>
      </c>
      <c r="B48" s="12" t="s">
        <v>235</v>
      </c>
      <c r="C48" s="9" t="s">
        <v>236</v>
      </c>
      <c r="D48" s="8" t="s">
        <v>234</v>
      </c>
    </row>
    <row r="49" spans="1:4">
      <c r="A49" s="8" t="s">
        <v>237</v>
      </c>
      <c r="B49" s="12" t="s">
        <v>235</v>
      </c>
      <c r="C49" s="9" t="s">
        <v>236</v>
      </c>
      <c r="D49" s="8" t="s">
        <v>237</v>
      </c>
    </row>
    <row r="50" spans="1:4">
      <c r="A50" s="8" t="s">
        <v>238</v>
      </c>
      <c r="B50" s="12" t="s">
        <v>235</v>
      </c>
      <c r="C50" s="9" t="s">
        <v>236</v>
      </c>
      <c r="D50" s="8" t="s">
        <v>238</v>
      </c>
    </row>
    <row r="51" spans="1:4">
      <c r="A51" s="8" t="s">
        <v>239</v>
      </c>
      <c r="B51" s="12" t="s">
        <v>235</v>
      </c>
      <c r="C51" s="9" t="s">
        <v>236</v>
      </c>
      <c r="D51" s="8" t="s">
        <v>239</v>
      </c>
    </row>
    <row r="52" spans="1:4">
      <c r="A52" s="8" t="s">
        <v>240</v>
      </c>
      <c r="B52" s="12" t="s">
        <v>241</v>
      </c>
      <c r="C52" s="9" t="s">
        <v>242</v>
      </c>
      <c r="D52" s="8" t="s">
        <v>240</v>
      </c>
    </row>
    <row r="53" spans="1:4">
      <c r="A53" s="8" t="s">
        <v>243</v>
      </c>
      <c r="B53" s="12" t="s">
        <v>241</v>
      </c>
      <c r="C53" s="9" t="s">
        <v>242</v>
      </c>
      <c r="D53" s="8" t="s">
        <v>243</v>
      </c>
    </row>
    <row r="54" spans="1:4">
      <c r="A54" s="8" t="s">
        <v>244</v>
      </c>
      <c r="B54" s="12" t="s">
        <v>241</v>
      </c>
      <c r="C54" s="9" t="s">
        <v>242</v>
      </c>
      <c r="D54" s="8" t="s">
        <v>244</v>
      </c>
    </row>
    <row r="55" spans="1:4">
      <c r="A55" s="8" t="s">
        <v>245</v>
      </c>
      <c r="B55" s="12" t="s">
        <v>241</v>
      </c>
      <c r="C55" s="9" t="s">
        <v>242</v>
      </c>
      <c r="D55" s="8" t="s">
        <v>245</v>
      </c>
    </row>
    <row r="56" spans="1:4">
      <c r="A56" s="8" t="s">
        <v>246</v>
      </c>
      <c r="B56" s="12" t="s">
        <v>241</v>
      </c>
      <c r="C56" s="9" t="s">
        <v>242</v>
      </c>
      <c r="D56" s="8" t="s">
        <v>246</v>
      </c>
    </row>
    <row r="57" spans="1:4">
      <c r="A57" s="8" t="s">
        <v>247</v>
      </c>
      <c r="B57" s="12" t="s">
        <v>241</v>
      </c>
      <c r="C57" s="9" t="s">
        <v>242</v>
      </c>
      <c r="D57" s="8" t="s">
        <v>247</v>
      </c>
    </row>
    <row r="58" spans="1:4">
      <c r="A58" s="8" t="s">
        <v>248</v>
      </c>
      <c r="B58" s="12" t="s">
        <v>241</v>
      </c>
      <c r="C58" s="9" t="s">
        <v>242</v>
      </c>
      <c r="D58" s="8" t="s">
        <v>248</v>
      </c>
    </row>
    <row r="59" spans="1:4">
      <c r="A59" s="8" t="s">
        <v>249</v>
      </c>
      <c r="B59" s="12" t="s">
        <v>241</v>
      </c>
      <c r="C59" s="9" t="s">
        <v>242</v>
      </c>
      <c r="D59" s="8" t="s">
        <v>249</v>
      </c>
    </row>
    <row r="60" spans="1:4">
      <c r="A60" s="8" t="s">
        <v>250</v>
      </c>
      <c r="B60" s="12" t="s">
        <v>241</v>
      </c>
      <c r="C60" s="9" t="s">
        <v>242</v>
      </c>
      <c r="D60" s="8" t="s">
        <v>250</v>
      </c>
    </row>
    <row r="61" spans="1:4">
      <c r="A61" s="8" t="s">
        <v>251</v>
      </c>
      <c r="B61" s="12" t="s">
        <v>241</v>
      </c>
      <c r="C61" s="9" t="s">
        <v>252</v>
      </c>
      <c r="D61" s="8" t="s">
        <v>251</v>
      </c>
    </row>
    <row r="62" spans="1:4">
      <c r="A62" s="8" t="s">
        <v>253</v>
      </c>
      <c r="B62" s="12" t="s">
        <v>241</v>
      </c>
      <c r="C62" s="9" t="s">
        <v>252</v>
      </c>
      <c r="D62" s="8" t="s">
        <v>253</v>
      </c>
    </row>
    <row r="63" spans="1:4">
      <c r="A63" s="8" t="s">
        <v>254</v>
      </c>
      <c r="B63" s="12" t="s">
        <v>241</v>
      </c>
      <c r="C63" s="9" t="s">
        <v>255</v>
      </c>
      <c r="D63" s="8" t="s">
        <v>254</v>
      </c>
    </row>
    <row r="64" spans="1:4">
      <c r="A64" s="8" t="s">
        <v>256</v>
      </c>
      <c r="B64" s="12" t="s">
        <v>241</v>
      </c>
      <c r="C64" s="9" t="s">
        <v>255</v>
      </c>
      <c r="D64" s="8" t="s">
        <v>256</v>
      </c>
    </row>
    <row r="65" spans="1:4">
      <c r="A65" s="8" t="s">
        <v>257</v>
      </c>
      <c r="B65" s="12" t="s">
        <v>241</v>
      </c>
      <c r="C65" s="9" t="s">
        <v>258</v>
      </c>
      <c r="D65" s="8" t="s">
        <v>257</v>
      </c>
    </row>
    <row r="66" spans="1:4">
      <c r="A66" s="8" t="s">
        <v>259</v>
      </c>
      <c r="B66" s="12" t="s">
        <v>241</v>
      </c>
      <c r="C66" s="9" t="s">
        <v>258</v>
      </c>
      <c r="D66" s="8" t="s">
        <v>259</v>
      </c>
    </row>
    <row r="67" spans="1:4">
      <c r="A67" s="8" t="s">
        <v>260</v>
      </c>
      <c r="B67" s="12" t="s">
        <v>241</v>
      </c>
      <c r="C67" s="9" t="s">
        <v>258</v>
      </c>
      <c r="D67" s="8" t="s">
        <v>260</v>
      </c>
    </row>
    <row r="68" spans="1:4">
      <c r="A68" s="8" t="s">
        <v>261</v>
      </c>
      <c r="B68" s="12" t="s">
        <v>241</v>
      </c>
      <c r="C68" s="9" t="s">
        <v>262</v>
      </c>
      <c r="D68" s="8" t="s">
        <v>261</v>
      </c>
    </row>
    <row r="69" spans="1:4">
      <c r="A69" s="8" t="s">
        <v>263</v>
      </c>
      <c r="B69" s="12" t="s">
        <v>241</v>
      </c>
      <c r="C69" s="9" t="s">
        <v>262</v>
      </c>
      <c r="D69" s="8" t="s">
        <v>263</v>
      </c>
    </row>
    <row r="70" spans="1:4">
      <c r="A70" s="8" t="s">
        <v>264</v>
      </c>
      <c r="B70" s="12" t="s">
        <v>241</v>
      </c>
      <c r="C70" s="9" t="s">
        <v>265</v>
      </c>
      <c r="D70" s="8" t="s">
        <v>264</v>
      </c>
    </row>
    <row r="71" spans="1:4">
      <c r="A71" s="13" t="s">
        <v>266</v>
      </c>
      <c r="B71" s="12" t="s">
        <v>241</v>
      </c>
      <c r="C71" s="9" t="s">
        <v>265</v>
      </c>
      <c r="D71" s="13" t="s">
        <v>266</v>
      </c>
    </row>
  </sheetData>
  <pageMargins left="0.7" right="0.7" top="0.75" bottom="0.75" header="0.3" footer="0.3"/>
  <pageSetup orientation="portrait" r:id="rId1"/>
  <headerFooter>
    <oddHeader>&amp;C&amp;K00FF00&amp;10&amp;"Calibri" Classification: &amp;K00FF00&amp;10&amp;"Calibri"&amp;BRestricted مقيَد&amp;B</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مستند" ma:contentTypeID="0x0101008560A96007ED174F841154D8CFE36C8B" ma:contentTypeVersion="5" ma:contentTypeDescription="إنشاء مستند جديد." ma:contentTypeScope="" ma:versionID="5560dd2bf932cea5efd2a12d27c21ef1">
  <xsd:schema xmlns:xsd="http://www.w3.org/2001/XMLSchema" xmlns:xs="http://www.w3.org/2001/XMLSchema" xmlns:p="http://schemas.microsoft.com/office/2006/metadata/properties" xmlns:ns3="67112cce-7f6e-4cc6-ab39-8cd060fb5e40" targetNamespace="http://schemas.microsoft.com/office/2006/metadata/properties" ma:root="true" ma:fieldsID="71738161a3f1f331cc0900c4f8499476" ns3:_="">
    <xsd:import namespace="67112cce-7f6e-4cc6-ab39-8cd060fb5e4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112cce-7f6e-4cc6-ab39-8cd060fb5e4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نوع المحتوى"/>
        <xsd:element ref="dc:title" minOccurs="0" maxOccurs="1" ma:index="4" ma:displayName="العنوان"/>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7112cce-7f6e-4cc6-ab39-8cd060fb5e40" xsi:nil="true"/>
  </documentManagement>
</p:properties>
</file>

<file path=customXml/itemProps1.xml><?xml version="1.0" encoding="utf-8"?>
<ds:datastoreItem xmlns:ds="http://schemas.openxmlformats.org/officeDocument/2006/customXml" ds:itemID="{83458C97-D3BB-40D3-B43D-69B3A9083A66}">
  <ds:schemaRefs/>
</ds:datastoreItem>
</file>

<file path=customXml/itemProps2.xml><?xml version="1.0" encoding="utf-8"?>
<ds:datastoreItem xmlns:ds="http://schemas.openxmlformats.org/officeDocument/2006/customXml" ds:itemID="{333E0358-A23B-458A-88A2-5892B2626B32}">
  <ds:schemaRefs/>
</ds:datastoreItem>
</file>

<file path=customXml/itemProps3.xml><?xml version="1.0" encoding="utf-8"?>
<ds:datastoreItem xmlns:ds="http://schemas.openxmlformats.org/officeDocument/2006/customXml" ds:itemID="{ACB94CD8-8426-4D1E-A684-B369D203DF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Document Control</vt:lpstr>
      <vt:lpstr>Introductions</vt:lpstr>
      <vt:lpstr>Availability Risk Register</vt:lpstr>
      <vt:lpstr>Sheet1</vt:lpstr>
      <vt:lpstr>Risk Methedology Matrix</vt:lpstr>
      <vt:lpstr>Loss Event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Khan  Tech</cp:lastModifiedBy>
  <dcterms:created xsi:type="dcterms:W3CDTF">2024-05-16T08:32:00Z</dcterms:created>
  <dcterms:modified xsi:type="dcterms:W3CDTF">2026-09-14T18:20:35Z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0x0101008560A96007ED174F841154D8CFE36C8B</vt:lpwstr>
  </property>
  <property fmtid="{D5CDD505-2E9C-101B-9397-08002B2CF9AE}" pid="4" name="ICV">
    <vt:lpwstr>FA2F906E42C24947BEC8875079C50F57_12</vt:lpwstr>
  </property>
  <property fmtid="{D5CDD505-2E9C-101B-9397-08002B2CF9AE}" pid="5" name="KSOProductBuildVer">
    <vt:lpwstr>2057-12.2.0.22549</vt:lpwstr>
  </property>
  <property fmtid="{D5CDD505-2E9C-101B-9397-08002B2CF9AE}" pid="6" name="gvdocid">
    <vt:lpwstr>751ccef4-28f3-4fd7-9adc-097283eb7660</vt:lpwstr>
  </property>
  <property fmtid="{D5CDD505-2E9C-101B-9397-08002B2CF9AE}" pid="7" name="ClassificationTagSetId">
    <vt:lpwstr>e16409a7-1700-4153-9090-3955bc2f0ae8</vt:lpwstr>
  </property>
  <property fmtid="{D5CDD505-2E9C-101B-9397-08002B2CF9AE}" pid="8" name="ComplianceTagSetId">
    <vt:lpwstr>f14fc1f1-8950-40d5-8a29-45909da947d6</vt:lpwstr>
  </property>
  <property fmtid="{D5CDD505-2E9C-101B-9397-08002B2CF9AE}" pid="9" name="FileId">
    <vt:lpwstr>751ccef4-28f3-4fd7-9adc-097283eb7660</vt:lpwstr>
  </property>
  <property fmtid="{D5CDD505-2E9C-101B-9397-08002B2CF9AE}" pid="10" name="UserId">
    <vt:lpwstr>s.aijaz</vt:lpwstr>
  </property>
  <property fmtid="{D5CDD505-2E9C-101B-9397-08002B2CF9AE}" pid="11" name="TagDateTime">
    <vt:lpwstr>2026-09-14T14:17:27Z</vt:lpwstr>
  </property>
  <property fmtid="{D5CDD505-2E9C-101B-9397-08002B2CF9AE}" pid="12" name="GVData">
    <vt:lpwstr>eyJPUyI6IldpbmRvd3MiLCJkb2NJRCI6Ijc1MWNjZWY0LTI4ZjMtNGZkNy05YWRjLTA5NzI4M2ViNzY2MCIsImRvY1N0YXRlIjoie1wiQ3VycmVudFN0YXRlXCI6XCJ7XFxcIkZpcnN0UGFnZURpZmZlcmVudFxcXCI6ZmFsc2UsXFxcIkRpZmZlcmVudE9kZEFuZEV2</vt:lpwstr>
  </property>
  <property fmtid="{D5CDD505-2E9C-101B-9397-08002B2CF9AE}" pid="13" name="GVData0">
    <vt:lpwstr>ZW5QYWdlc1xcXCI6ZmFsc2UsXFxcIlBhZ2VDb3VudFxcXCI6NixcXFwiSGVhZGVyTWV0YWRhdGFcXFwiOlxcXCJ7XFxcXFxcXCJMZWZ0XFxcXFxcXCI6XFxcXFxcXCJcXFxcXFxcIixcXFxcXFxcIkNlbnRlclxcXFxcXFwiOlxcXFxcXFwiIENsYXNzaWZpY2F0aW9u</vt:lpwstr>
  </property>
  <property fmtid="{D5CDD505-2E9C-101B-9397-08002B2CF9AE}" pid="14" name="GVData1">
    <vt:lpwstr>OiBSZXN0cmljdGVkINmF2YLZitmO2K9cXFxcXFxcIixcXFxcXFxcIlJpZ2h0XFxcXFxcXCI6XFxcXFxcXCJcXFxcXFxcIn1cXFwiLFxcXCJUaGlyZFBhcnR5SGVhZGVyTWV0YWRhdGFcXFwiOlxcXCJcXFwiLFxcXCJHVkhlYWRlckV4aXN0c1xcXCI6dHJ1ZSxcXFwi</vt:lpwstr>
  </property>
  <property fmtid="{D5CDD505-2E9C-101B-9397-08002B2CF9AE}" pid="15" name="GVData2">
    <vt:lpwstr>Tm9uR1ZIZWFkZXJFeGlzdHNcXFwiOmZhbHNlLFxcXCJGbG9hdGluZ0hlYWRlckV4aXN0c1xcXCI6ZmFsc2UsXFxcIk5vbkdWSGVhZGVyU2hhcGVFeGlzdHNcXFwiOmZhbHNlLFxcXCJUaGlyZFBhcnR5SGVhZGVyc1xcXCI6W10sXFxcIkZvb3Rlck1ldGFkYXRhXFxc</vt:lpwstr>
  </property>
  <property fmtid="{D5CDD505-2E9C-101B-9397-08002B2CF9AE}" pid="16" name="GVData3">
    <vt:lpwstr>IjpcXFwiXFxcIixcXFwiVGhpcmRQYXJ0eUZvb3Rlck1ldGFkYXRhXFxcIjpcXFwiXFxcIixcXFwiR1ZGb290ZXJFeGlzdHNcXFwiOmZhbHNlLFxcXCJOb25HVkZvb3RlckV4aXN0c1xcXCI6ZmFsc2UsXFxcIkZsb2F0aW5nRm9vdGVyRXhpc3RzXFxcIjpmYWxzZSxc</vt:lpwstr>
  </property>
  <property fmtid="{D5CDD505-2E9C-101B-9397-08002B2CF9AE}" pid="17" name="GVData4">
    <vt:lpwstr>XFwiTm9uR1ZGb290ZXJTaGFwZUV4aXN0c1xcXCI6ZmFsc2UsXFxcIlRoaXJkUGFydHlGb290ZXJzXFxcIjpbXSxcXFwiV2F0ZXJtYXJrTWV0YWRhdGFcXFwiOlxcXCJcXFwiLFxcXCJXYXRlcm1hcmtFeGlzdHNcXFwiOmZhbHNlLFxcXCJQb3dlcnBvaW50VGl0bGVN</vt:lpwstr>
  </property>
  <property fmtid="{D5CDD505-2E9C-101B-9397-08002B2CF9AE}" pid="18" name="GVData5">
    <vt:lpwstr>ZXRhZGF0YVxcXCI6bnVsbCxcXFwiUG93ZXJwb2ludFN1YnRpdGxlTWV0YWRhdGFcXFwiOm51bGwsXFxcIlRoaXJkUGFydHlNZXRhZGF0YUZvdW5kXFxcIjpmYWxzZX1cIixcIjNyZFBhcnR5SGVhZGVyXCI6XCJcIixcIkhlYWRlclwiOlwie1xcXCJMZWZ0XFxcIjpc</vt:lpwstr>
  </property>
  <property fmtid="{D5CDD505-2E9C-101B-9397-08002B2CF9AE}" pid="19" name="GVData6">
    <vt:lpwstr>XFwiXFxcIixcXFwiQ2VudGVyXFxcIjpcXFwiIENsYXNzaWZpY2F0aW9uOiBSZXN0cmljdGVkINmF2YLZitmO2K9cXFwiLFxcXCJSaWdodFxcXCI6XFxcIlxcXCJ9XCIsXCJPcHRpb25zXCI6XCJ7XFxcIlBvcHVwQ29uZmlndXJhdGlvblxcXCI6e1xcXCJBbHdheXNT</vt:lpwstr>
  </property>
  <property fmtid="{D5CDD505-2E9C-101B-9397-08002B2CF9AE}" pid="20" name="GVData7">
    <vt:lpwstr>aG93UG9wdXBcXFwiOmZhbHNlLFxcXCJFbmZvcmNlSGVhZGVyRm9vdGVyVHlwZVxcXCI6ZmFsc2UsXFxcIkhlYWRlclBsYWNlbWVudFR5cGVcXFwiOjAsXFxcIkZvb3RlclBsYWNlbWVudFR5cGVcXFwiOjAsXFxcIkVuZm9yY2VMYXlvdXRPcHRpb25cXFwiOmZhbHNl</vt:lpwstr>
  </property>
  <property fmtid="{D5CDD505-2E9C-101B-9397-08002B2CF9AE}" pid="21" name="GVData8">
    <vt:lpwstr>LFxcXCJMYXlvdXRPcHRpb25cXFwiOjAsXFxcIlRyaWdnZXJOdW1iZXJcXFwiOjAsXFxcIkZyb21JbmRleFxcXCI6MCxcXFwiVG9JbmRleFxcXCI6MCxcXFwiRW5mb3JjZU92ZXJ3cml0ZU9wdGlvblxcXCI6ZmFsc2UsXFxcIk92ZXJ3cml0ZU9wdGlvblxcXCI6XFxc</vt:lpwstr>
  </property>
  <property fmtid="{D5CDD505-2E9C-101B-9397-08002B2CF9AE}" pid="22" name="GVData9">
    <vt:lpwstr>Im92ZXJ3cml0ZVxcXCJ9LFxcXCJIZWFkZXJFbmFibGVkXFxcIjpmYWxzZSxcXFwiSGVhZGVyXFxcIjpcXFwiPHNwYW4gc3R5bGU9XFxcXFxcXCJjb2xvcjojMDBGRjAwO1xcXFxcXFwiPiBDbGFzc2lmaWNhdGlvbjogPHN0cm9uZz5SZXN0cmljdGVkINmF2YLZitmO</vt:lpwstr>
  </property>
  <property fmtid="{D5CDD505-2E9C-101B-9397-08002B2CF9AE}" pid="23" name="GVData10">
    <vt:lpwstr>2K88L3N0cm9uZz48L3NwYW4+XFxcIixcXFwiSGVhZGVyc1xcXCI6W1xcXCI8c3BhbiBzdHlsZT1cXFxcXFxcImNvbG9yOiMwMEZGMDA7XFxcXFxcXCI+IENsYXNzaWZpY2F0aW9uOiA8c3Ryb25nPlJlc3RyaWN0ZWQg2YXZgtmK2Y7Yrzwvc3Ryb25nPjwvc3Bhbj5c</vt:lpwstr>
  </property>
  <property fmtid="{D5CDD505-2E9C-101B-9397-08002B2CF9AE}" pid="24" name="GVData11">
    <vt:lpwstr>XFwiXSxcXFwiSGVhZGVyVHlwZVxcXCI6MCxcXFwiSGVhZGVyVHlwZXNBbGxvd2VkXFxcIjpbMCwxXSxcXFwiSGVhZGVyVXBkYXRlVHlwZVxcXCI6MSxcXFwiRm9vdGVyRW5hYmxlZFxcXCI6ZmFsc2UsXFxcIkZvb3RlclxcXCI6XFxcIlxcXCIsXFxcIkZvb3RlcnNc</vt:lpwstr>
  </property>
  <property fmtid="{D5CDD505-2E9C-101B-9397-08002B2CF9AE}" pid="25" name="GVData12">
    <vt:lpwstr>XFwiOltcXFwiXFxcIl0sXFxcIkZvb3RlclR5cGVcXFwiOjIsXFxcIkZvb3RlclR5cGVzQWxsb3dlZFxcXCI6WzJdLFxcXCJGb290ZXJVcGRhdGVUeXBlXFxcIjowLFxcXCJXYXRlcm1hcmtcXFwiOm51bGwsXFxcIldhdGVybWFya0VuYWJsZWRcXFwiOmZhbHNlLFxc</vt:lpwstr>
  </property>
  <property fmtid="{D5CDD505-2E9C-101B-9397-08002B2CF9AE}" pid="26" name="GVData23">
    <vt:lpwstr>LFwiQ2xhc3NpZmljYXRpb25UYWdTZXRJZFwiLFwiQ2xhc3NpZmljYXRpb25cIixcIkNvbXBsaWFuY2VUYWdTZXRJZFwiLFwiRmlsZUlkXCIsXCJVc2VySWRcIixcIlRhZ0RhdGVUaW1lXCJdIiwibm9PZkd2RGF0YUVudHJpZXMiOiIyMyIsImxpbmVJZCI6IjMzYzYw</vt:lpwstr>
  </property>
  <property fmtid="{D5CDD505-2E9C-101B-9397-08002B2CF9AE}" pid="27" name="GVData24">
    <vt:lpwstr>NjFmLTMzMjgtNDA5Mi04MjlkLTkzODI2YWIyYjExOSIsInRhZ3NldF9lMTY0MDlhN18xNzAwXzQxNTNfOTA5MF8zOTU1YmMyZjBhZThfY2xhc3NpZmljYXRpb24iOiJSZXN0cmljdGVkIn0=</vt:lpwstr>
  </property>
  <property fmtid="{D5CDD505-2E9C-101B-9397-08002B2CF9AE}" pid="28" name="GVData25">
    <vt:lpwstr>(end)</vt:lpwstr>
  </property>
  <property fmtid="{D5CDD505-2E9C-101B-9397-08002B2CF9AE}" pid="29" name="Classification">
    <vt:lpwstr>Restricted مقيَد</vt:lpwstr>
  </property>
  <property fmtid="{D5CDD505-2E9C-101B-9397-08002B2CF9AE}" pid="30" name="GVData13">
    <vt:lpwstr>XCJTaG91bGRXcml0ZVdhdGVybWFya1xcXCI6ZmFsc2UsXFxcIldhdGVybWFya1VwZGF0ZVR5cGVcXFwiOjAsXFxcIlBvd2VycG9pbnRUaXRsZVxcXCI6bnVsbCxcXFwiUG93ZXJwb2ludFN1Yml0bGVcXFwiOm51bGx9XCIsXCJTdGF0ZVwiOlwie1xcXCJGaXJzdFBh</vt:lpwstr>
  </property>
  <property fmtid="{D5CDD505-2E9C-101B-9397-08002B2CF9AE}" pid="31" name="GVData14">
    <vt:lpwstr>Z2VEaWZmZXJlbnRcXFwiOmZhbHNlLFxcXCJEaWZmZXJlbnRPZGRBbmRFdmVuUGFnZXNcXFwiOmZhbHNlLFxcXCJQYWdlQ291bnRcXFwiOjYsXFxcIkhlYWRlck1ldGFkYXRhXFxcIjpcXFwie1xcXFxcXFwiTGVmdFxcXFxcXFwiOlxcXFxcXFwiXFxcXFxcXCIsXFxc</vt:lpwstr>
  </property>
  <property fmtid="{D5CDD505-2E9C-101B-9397-08002B2CF9AE}" pid="32" name="GVData15">
    <vt:lpwstr>XFxcXCJDZW50ZXJcXFxcXFxcIjpcXFxcXFxcIiBDbGFzc2lmaWNhdGlvbjogUmVzdHJpY3RlZCDZhdmC2YrZjtivXFxcXFxcXCIsXFxcXFxcXCJSaWdodFxcXFxcXFwiOlxcXFxcXFwiXFxcXFxcXCJ9XFxcIixcXFwiVGhpcmRQYXJ0eUhlYWRlck1ldGFkYXRhXFxc</vt:lpwstr>
  </property>
  <property fmtid="{D5CDD505-2E9C-101B-9397-08002B2CF9AE}" pid="33" name="GVData16">
    <vt:lpwstr>IjpcXFwiXFxcIixcXFwiR1ZIZWFkZXJFeGlzdHNcXFwiOnRydWUsXFxcIk5vbkdWSGVhZGVyRXhpc3RzXFxcIjpmYWxzZSxcXFwiRmxvYXRpbmdIZWFkZXJFeGlzdHNcXFwiOmZhbHNlLFxcXCJOb25HVkhlYWRlclNoYXBlRXhpc3RzXFxcIjpmYWxzZSxcXFwiVGhp</vt:lpwstr>
  </property>
  <property fmtid="{D5CDD505-2E9C-101B-9397-08002B2CF9AE}" pid="34" name="GVData17">
    <vt:lpwstr>cmRQYXJ0eUhlYWRlcnNcXFwiOltdLFxcXCJGb290ZXJNZXRhZGF0YVxcXCI6XFxcIlxcXCIsXFxcIlRoaXJkUGFydHlGb290ZXJNZXRhZGF0YVxcXCI6XFxcIlxcXCIsXFxcIkdWRm9vdGVyRXhpc3RzXFxcIjpmYWxzZSxcXFwiTm9uR1ZGb290ZXJFeGlzdHNcXFwi</vt:lpwstr>
  </property>
  <property fmtid="{D5CDD505-2E9C-101B-9397-08002B2CF9AE}" pid="35" name="GVData18">
    <vt:lpwstr>OmZhbHNlLFxcXCJGbG9hdGluZ0Zvb3RlckV4aXN0c1xcXCI6ZmFsc2UsXFxcIk5vbkdWRm9vdGVyU2hhcGVFeGlzdHNcXFwiOmZhbHNlLFxcXCJUaGlyZFBhcnR5Rm9vdGVyc1xcXCI6W10sXFxcIldhdGVybWFya01ldGFkYXRhXFxcIjpcXFwiXFxcIixcXFwiV2F0</vt:lpwstr>
  </property>
  <property fmtid="{D5CDD505-2E9C-101B-9397-08002B2CF9AE}" pid="36" name="GVData19">
    <vt:lpwstr>ZXJtYXJrRXhpc3RzXFxcIjpmYWxzZSxcXFwiUG93ZXJwb2ludFRpdGxlTWV0YWRhdGFcXFwiOm51bGwsXFxcIlBvd2VycG9pbnRTdWJ0aXRsZU1ldGFkYXRhXFxcIjpudWxsLFxcXCJUaGlyZFBhcnR5TWV0YWRhdGFGb3VuZFxcXCI6ZmFsc2V9XCJ9IiwicGFyZW50</vt:lpwstr>
  </property>
  <property fmtid="{D5CDD505-2E9C-101B-9397-08002B2CF9AE}" pid="37" name="GVData20">
    <vt:lpwstr>TGluZUlkcyI6IltcIjMzMjE4ZGRiLTQ2OTctNGVkMC05ZDIwLTUxMGE2YjlkYjlmNFwiLFwiOGExNTljMjAtODRlMi00MDI0LTgyODQtZWI5MmE1MThkMDcwXCIsXCI2OGY5MDNkZi00OTUyLTQ3Y2QtYmI2Yy0xNzhmM2JhOWM3MTJcIixcIjkxZmU1NjRiLWNiZjgt</vt:lpwstr>
  </property>
  <property fmtid="{D5CDD505-2E9C-101B-9397-08002B2CF9AE}" pid="38" name="GVData21">
    <vt:lpwstr>NDk5NC05MDYwLTgyODVjMmJiMjI1ZFwiLFwiNTU1YzE1OWMtOTk3ZC00ZDE3LWI5YjktN2MxNjBlOTE0NWI4XCIsXCJhYzU5Y2FkNC02ZWJjLTQ5NTMtYWQwMC02NTJiZDA4ZGFkYmZcIixcImE0MzdkMjUxLThiZDEtNGI5YS1iNzEwLTA1NjlhMDNiZDYwYVwiLFwi</vt:lpwstr>
  </property>
  <property fmtid="{D5CDD505-2E9C-101B-9397-08002B2CF9AE}" pid="39" name="GVData22">
    <vt:lpwstr>NGIxNDhiZjItM2Y4OS00YmQzLThjOTYtOGUwMTVmNWJiNTI1XCIsXCIzNGJkNmUxYi0wNTY2LTRjMmMtYWYxMy0wZmIyOTFiNDIwZWZcIixcImM1NTUwYTQxLWIzNWUtNGVkMS04NDdmLWI1YmMwZjkyYmRkOFwiXSIsIndyaXR0ZW5LZXlzIjoiW1wiZ3Zkb2NpZFwi</vt:lpwstr>
  </property>
</Properties>
</file>